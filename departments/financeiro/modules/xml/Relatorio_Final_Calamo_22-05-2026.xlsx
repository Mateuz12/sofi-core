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Nomeclatura Lojas" sheetId="3" state="visible" r:id="rId3"/>
    <sheet xmlns:r="http://schemas.openxmlformats.org/officeDocument/2006/relationships" name="Cadastro Lojas" sheetId="4" state="hidden" r:id="rId4"/>
  </sheets>
  <definedNames>
    <definedName name="_xlnm._FilterDatabase" localSheetId="1" hidden="1">'Base'!$A$1:$X$61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&quot;\ #,##0.00;[Red]\-&quot;R$&quot;\ #,##0.00"/>
    <numFmt numFmtId="165" formatCode="0.0%"/>
    <numFmt numFmtId="166" formatCode="&quot;R$&quot;\ #,##0.00"/>
    <numFmt numFmtId="167" formatCode="dd/mm/yyyy"/>
    <numFmt numFmtId="168" formatCode="R$ #,##0.00"/>
  </numFmts>
  <fonts count="13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9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8" tint="0.7999816888943144"/>
      <sz val="9"/>
      <scheme val="minor"/>
    </font>
    <font>
      <name val="Calibri"/>
      <b val="1"/>
      <sz val="11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C4D79B"/>
        <bgColor rgb="00C4D79B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3">
    <xf numFmtId="0" fontId="1" fillId="0" borderId="0"/>
    <xf numFmtId="0" fontId="2" fillId="0" borderId="0"/>
    <xf numFmtId="43" fontId="1" fillId="0" borderId="0"/>
  </cellStyleXfs>
  <cellXfs count="83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14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14" fontId="9" fillId="5" borderId="2" applyAlignment="1" pivotButton="0" quotePrefix="0" xfId="0">
      <alignment horizontal="left" vertical="center" wrapText="1"/>
    </xf>
    <xf numFmtId="164" fontId="9" fillId="5" borderId="2" applyAlignment="1" pivotButton="0" quotePrefix="0" xfId="0">
      <alignment horizontal="left" vertical="center" wrapText="1"/>
    </xf>
    <xf numFmtId="0" fontId="8" fillId="3" borderId="3" pivotButton="0" quotePrefix="0" xfId="0"/>
    <xf numFmtId="0" fontId="8" fillId="3" borderId="4" pivotButton="0" quotePrefix="0" xfId="0"/>
    <xf numFmtId="164" fontId="8" fillId="3" borderId="4" pivotButton="0" quotePrefix="0" xfId="0"/>
    <xf numFmtId="0" fontId="8" fillId="3" borderId="5" pivotButton="0" quotePrefix="0" xfId="0"/>
    <xf numFmtId="0" fontId="8" fillId="3" borderId="6" pivotButton="0" quotePrefix="0" xfId="0"/>
    <xf numFmtId="165" fontId="8" fillId="3" borderId="7" applyAlignment="1" pivotButton="0" quotePrefix="0" xfId="2">
      <alignment horizontal="left"/>
    </xf>
    <xf numFmtId="14" fontId="0" fillId="0" borderId="0" pivotButton="0" quotePrefix="0" xfId="0"/>
    <xf numFmtId="164" fontId="8" fillId="3" borderId="8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5" fontId="8" fillId="0" borderId="0" applyAlignment="1" pivotButton="0" quotePrefix="0" xfId="2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6" fontId="5" fillId="0" borderId="0" pivotButton="0" quotePrefix="0" xfId="0"/>
    <xf numFmtId="164" fontId="5" fillId="0" borderId="0" pivotButton="0" quotePrefix="0" xfId="0"/>
    <xf numFmtId="0" fontId="0" fillId="6" borderId="0" pivotButton="0" quotePrefix="0" xfId="0"/>
    <xf numFmtId="14" fontId="0" fillId="6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9" fillId="5" borderId="1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14" fontId="9" fillId="4" borderId="10" applyAlignment="1" pivotButton="0" quotePrefix="0" xfId="0">
      <alignment horizontal="center" vertical="center" wrapText="1"/>
    </xf>
    <xf numFmtId="14" fontId="9" fillId="4" borderId="9" applyAlignment="1" pivotButton="0" quotePrefix="0" xfId="0">
      <alignment horizontal="center" vertical="center" wrapText="1"/>
    </xf>
    <xf numFmtId="14" fontId="9" fillId="5" borderId="10" applyAlignment="1" pivotButton="0" quotePrefix="0" xfId="0">
      <alignment horizontal="center" vertical="center" wrapText="1"/>
    </xf>
    <xf numFmtId="14" fontId="9" fillId="5" borderId="9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8" fillId="3" borderId="14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/>
    </xf>
    <xf numFmtId="0" fontId="11" fillId="3" borderId="1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7" borderId="19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12" fillId="8" borderId="21" applyAlignment="1" pivotButton="0" quotePrefix="0" xfId="0">
      <alignment horizontal="center" vertical="center" wrapText="1"/>
    </xf>
    <xf numFmtId="0" fontId="12" fillId="8" borderId="21" applyAlignment="1" pivotButton="0" quotePrefix="0" xfId="0">
      <alignment horizontal="left" vertical="center" wrapText="1"/>
    </xf>
    <xf numFmtId="167" fontId="12" fillId="8" borderId="21" applyAlignment="1" pivotButton="0" quotePrefix="0" xfId="0">
      <alignment horizontal="center" vertical="center" wrapText="1"/>
    </xf>
    <xf numFmtId="0" fontId="0" fillId="0" borderId="24" pivotButton="0" quotePrefix="0" xfId="0"/>
    <xf numFmtId="168" fontId="12" fillId="8" borderId="21" applyAlignment="1" pivotButton="0" quotePrefix="0" xfId="0">
      <alignment horizontal="right" vertical="center" wrapText="1"/>
    </xf>
    <xf numFmtId="0" fontId="12" fillId="9" borderId="21" applyAlignment="1" pivotButton="0" quotePrefix="0" xfId="0">
      <alignment horizontal="center" vertical="center" wrapText="1"/>
    </xf>
    <xf numFmtId="0" fontId="12" fillId="9" borderId="21" applyAlignment="1" pivotButton="0" quotePrefix="0" xfId="0">
      <alignment horizontal="left" vertical="center" wrapText="1"/>
    </xf>
    <xf numFmtId="167" fontId="12" fillId="9" borderId="21" applyAlignment="1" pivotButton="0" quotePrefix="0" xfId="0">
      <alignment horizontal="center" vertical="center" wrapText="1"/>
    </xf>
    <xf numFmtId="168" fontId="12" fillId="9" borderId="21" applyAlignment="1" pivotButton="0" quotePrefix="0" xfId="0">
      <alignment horizontal="right" vertical="center" wrapText="1"/>
    </xf>
    <xf numFmtId="168" fontId="12" fillId="9" borderId="21" applyAlignment="1" pivotButton="0" quotePrefix="0" xfId="2">
      <alignment horizontal="right" vertical="center" wrapText="1"/>
    </xf>
    <xf numFmtId="168" fontId="12" fillId="8" borderId="21" applyAlignment="1" pivotButton="0" quotePrefix="0" xfId="2">
      <alignment horizontal="right" vertical="center" wrapText="1"/>
    </xf>
    <xf numFmtId="0" fontId="7" fillId="10" borderId="21" pivotButton="0" quotePrefix="0" xfId="0"/>
    <xf numFmtId="0" fontId="12" fillId="10" borderId="21" applyAlignment="1" pivotButton="0" quotePrefix="0" xfId="0">
      <alignment horizontal="center" vertical="center" wrapText="1"/>
    </xf>
    <xf numFmtId="168" fontId="12" fillId="10" borderId="21" applyAlignment="1" pivotButton="0" quotePrefix="0" xfId="0">
      <alignment horizontal="right" vertical="center" wrapText="1"/>
    </xf>
    <xf numFmtId="0" fontId="7" fillId="10" borderId="21" applyAlignment="1" pivotButton="0" quotePrefix="0" xfId="0">
      <alignment horizontal="center" vertical="center"/>
    </xf>
    <xf numFmtId="0" fontId="0" fillId="10" borderId="21" pivotButton="0" quotePrefix="0" xfId="0"/>
    <xf numFmtId="10" fontId="12" fillId="10" borderId="21" applyAlignment="1" pivotButton="0" quotePrefix="0" xfId="0">
      <alignment horizontal="right" vertical="center" wrapText="1"/>
    </xf>
  </cellXfs>
  <cellStyles count="3">
    <cellStyle name="Normal" xfId="0" builtinId="0"/>
    <cellStyle name="Normal 2" xfId="1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0A0A0"/>
      <rgbColor rgb="00F0F0F0"/>
      <rgbColor rgb="00B4B4B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O96"/>
  <sheetViews>
    <sheetView showGridLines="0" tabSelected="1" zoomScale="85" zoomScaleNormal="85" workbookViewId="0">
      <selection activeCell="F11" sqref="F11"/>
    </sheetView>
  </sheetViews>
  <sheetFormatPr baseColWidth="8" defaultRowHeight="15"/>
  <cols>
    <col width="10" bestFit="1" customWidth="1" style="1" min="1" max="1"/>
    <col width="10" customWidth="1" style="1" min="2" max="2"/>
    <col width="5.28515625" bestFit="1" customWidth="1" style="1" min="3" max="3"/>
    <col width="5.140625" bestFit="1" customWidth="1" style="1" min="4" max="5"/>
    <col width="33.85546875" bestFit="1" customWidth="1" style="1" min="6" max="6"/>
    <col width="14.7109375" bestFit="1" customWidth="1" style="1" min="7" max="7"/>
    <col width="13.42578125" bestFit="1" customWidth="1" style="1" min="8" max="8"/>
    <col width="8.85546875" customWidth="1" style="1" min="9" max="9"/>
    <col width="17.85546875" bestFit="1" customWidth="1" style="1" min="10" max="10"/>
    <col width="17.5703125" bestFit="1" customWidth="1" style="1" min="11" max="11"/>
    <col width="9.140625" customWidth="1" style="1" min="12" max="12"/>
    <col width="12.140625" bestFit="1" customWidth="1" style="1" min="13" max="13"/>
    <col width="12.7109375" bestFit="1" customWidth="1" style="25" min="14" max="14"/>
    <col width="12.42578125" bestFit="1" customWidth="1" style="1" min="15" max="15"/>
    <col width="10.140625" bestFit="1" customWidth="1" style="1" min="16" max="16"/>
    <col width="9.140625" customWidth="1" style="1" min="17" max="16384"/>
  </cols>
  <sheetData>
    <row r="1" ht="15.75" customHeight="1" thickBot="1">
      <c r="A1" s="60" t="inlineStr">
        <is>
          <t>NOTAS FISCAIS X CONTABILIZAÇÃO - SEMANA 19/05 A 21/05 - UDI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</row>
    <row r="2" ht="15.75" customHeight="1" thickBot="1">
      <c r="A2" s="63" t="inlineStr">
        <is>
          <t>ATT PERFUMARIA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2" t="n"/>
    </row>
    <row r="3" ht="30.75" customFormat="1" customHeight="1" s="2">
      <c r="A3" s="5" t="inlineStr">
        <is>
          <t>N° DOC</t>
        </is>
      </c>
      <c r="B3" s="5" t="inlineStr">
        <is>
          <t>NOSSO PEDIDO</t>
        </is>
      </c>
      <c r="C3" s="5" t="inlineStr">
        <is>
          <t>CMV</t>
        </is>
      </c>
      <c r="D3" s="5" t="inlineStr">
        <is>
          <t>TRF</t>
        </is>
      </c>
      <c r="E3" s="5" t="inlineStr">
        <is>
          <t>REM</t>
        </is>
      </c>
      <c r="F3" s="5" t="inlineStr">
        <is>
          <t>Destinatário</t>
        </is>
      </c>
      <c r="G3" s="5" t="inlineStr">
        <is>
          <t>Dt. Emissão</t>
        </is>
      </c>
      <c r="H3" s="64" t="inlineStr">
        <is>
          <t>Dt. Vencimento</t>
        </is>
      </c>
      <c r="I3" s="65" t="n"/>
      <c r="J3" s="5" t="inlineStr">
        <is>
          <t>Total Itens/Merc.</t>
        </is>
      </c>
      <c r="K3" s="5" t="inlineStr">
        <is>
          <t>Total do Documento</t>
        </is>
      </c>
      <c r="N3" s="25" t="n"/>
    </row>
    <row r="4" ht="25" customHeight="1">
      <c r="A4" s="66" t="n">
        <v>576355</v>
      </c>
      <c r="B4" s="66" t="n">
        <v>906284018</v>
      </c>
      <c r="C4" s="66" t="inlineStr"/>
      <c r="D4" s="66" t="inlineStr"/>
      <c r="E4" s="66" t="inlineStr"/>
      <c r="F4" s="67" t="inlineStr">
        <is>
          <t>20843-ALFI-ATT-UDI SHOP</t>
        </is>
      </c>
      <c r="G4" s="68" t="inlineStr">
        <is>
          <t>20/05/2026</t>
        </is>
      </c>
      <c r="H4" s="68" t="inlineStr">
        <is>
          <t>13/07/2026</t>
        </is>
      </c>
      <c r="I4" s="69" t="n"/>
      <c r="J4" s="70" t="n">
        <v>11285.02</v>
      </c>
      <c r="K4" s="70" t="n">
        <v>15070.01</v>
      </c>
    </row>
    <row r="5" ht="25" customHeight="1">
      <c r="A5" s="71" t="n">
        <v>576474</v>
      </c>
      <c r="B5" s="71" t="n">
        <v>906285401</v>
      </c>
      <c r="C5" s="71" t="inlineStr"/>
      <c r="D5" s="71" t="inlineStr"/>
      <c r="E5" s="71" t="inlineStr"/>
      <c r="F5" s="72" t="inlineStr">
        <is>
          <t>20843-ALFI-ATT-UDI SHOP</t>
        </is>
      </c>
      <c r="G5" s="73" t="inlineStr">
        <is>
          <t>20/05/2026</t>
        </is>
      </c>
      <c r="H5" s="73" t="inlineStr">
        <is>
          <t>13/07/2026</t>
        </is>
      </c>
      <c r="I5" s="69" t="n"/>
      <c r="J5" s="74" t="n">
        <v>2888.96</v>
      </c>
      <c r="K5" s="74" t="n">
        <v>3882.77</v>
      </c>
    </row>
    <row r="6" ht="25" customHeight="1">
      <c r="A6" s="66" t="n">
        <v>576440</v>
      </c>
      <c r="B6" s="66" t="n">
        <v>906287052</v>
      </c>
      <c r="C6" s="66" t="inlineStr"/>
      <c r="D6" s="66" t="inlineStr"/>
      <c r="E6" s="66" t="inlineStr"/>
      <c r="F6" s="67" t="inlineStr">
        <is>
          <t>20844-ATT-VD</t>
        </is>
      </c>
      <c r="G6" s="68" t="inlineStr">
        <is>
          <t>20/05/2026</t>
        </is>
      </c>
      <c r="H6" s="68" t="inlineStr">
        <is>
          <t>13/07/2026</t>
        </is>
      </c>
      <c r="I6" s="69" t="n"/>
      <c r="J6" s="70" t="n">
        <v>125807.85</v>
      </c>
      <c r="K6" s="70" t="n">
        <v>169085.79</v>
      </c>
    </row>
    <row r="7" ht="25" customHeight="1">
      <c r="A7" s="71" t="n">
        <v>576451</v>
      </c>
      <c r="B7" s="71" t="n">
        <v>906285749</v>
      </c>
      <c r="C7" s="71" t="inlineStr"/>
      <c r="D7" s="71" t="inlineStr"/>
      <c r="E7" s="71" t="inlineStr"/>
      <c r="F7" s="72" t="inlineStr">
        <is>
          <t>20844-ATT-VD</t>
        </is>
      </c>
      <c r="G7" s="73" t="inlineStr">
        <is>
          <t>20/05/2026</t>
        </is>
      </c>
      <c r="H7" s="73" t="inlineStr">
        <is>
          <t>13/07/2026</t>
        </is>
      </c>
      <c r="I7" s="69" t="n"/>
      <c r="J7" s="74" t="n">
        <v>67206.16</v>
      </c>
      <c r="K7" s="74" t="n">
        <v>90325.08</v>
      </c>
    </row>
    <row r="8" ht="25" customHeight="1">
      <c r="A8" s="66" t="n">
        <v>576579</v>
      </c>
      <c r="B8" s="66" t="n">
        <v>906285760</v>
      </c>
      <c r="C8" s="66" t="inlineStr"/>
      <c r="D8" s="66" t="inlineStr"/>
      <c r="E8" s="66" t="inlineStr"/>
      <c r="F8" s="67" t="inlineStr">
        <is>
          <t>20844-ATT-VD</t>
        </is>
      </c>
      <c r="G8" s="68" t="inlineStr">
        <is>
          <t>20/05/2026</t>
        </is>
      </c>
      <c r="H8" s="68" t="inlineStr">
        <is>
          <t>13/07/2026</t>
        </is>
      </c>
      <c r="I8" s="69" t="n"/>
      <c r="J8" s="70" t="n">
        <v>336039.2</v>
      </c>
      <c r="K8" s="70" t="n">
        <v>450437.2</v>
      </c>
    </row>
    <row r="9" ht="25" customHeight="1">
      <c r="A9" s="71" t="n">
        <v>576580</v>
      </c>
      <c r="B9" s="71" t="n">
        <v>906285760</v>
      </c>
      <c r="C9" s="71" t="inlineStr"/>
      <c r="D9" s="71" t="inlineStr"/>
      <c r="E9" s="71" t="inlineStr"/>
      <c r="F9" s="72" t="inlineStr">
        <is>
          <t>20844-ATT-VD</t>
        </is>
      </c>
      <c r="G9" s="73" t="inlineStr">
        <is>
          <t>20/05/2026</t>
        </is>
      </c>
      <c r="H9" s="73" t="inlineStr">
        <is>
          <t>13/07/2026</t>
        </is>
      </c>
      <c r="I9" s="69" t="n"/>
      <c r="J9" s="74" t="n">
        <v>185857.02</v>
      </c>
      <c r="K9" s="74" t="n">
        <v>248470.82</v>
      </c>
    </row>
    <row r="10" ht="25" customHeight="1">
      <c r="A10" s="66" t="n">
        <v>576581</v>
      </c>
      <c r="B10" s="66" t="n">
        <v>906285760</v>
      </c>
      <c r="C10" s="66" t="inlineStr"/>
      <c r="D10" s="66" t="inlineStr"/>
      <c r="E10" s="66" t="inlineStr"/>
      <c r="F10" s="67" t="inlineStr">
        <is>
          <t>20844-ATT-VD</t>
        </is>
      </c>
      <c r="G10" s="68" t="inlineStr">
        <is>
          <t>20/05/2026</t>
        </is>
      </c>
      <c r="H10" s="68" t="inlineStr">
        <is>
          <t>13/07/2026</t>
        </is>
      </c>
      <c r="I10" s="69" t="n"/>
      <c r="J10" s="70" t="n">
        <v>265982.16</v>
      </c>
      <c r="K10" s="70" t="n">
        <v>356517.1</v>
      </c>
    </row>
    <row r="11" ht="25" customHeight="1">
      <c r="A11" s="71" t="n">
        <v>576582</v>
      </c>
      <c r="B11" s="71" t="n">
        <v>906285760</v>
      </c>
      <c r="C11" s="71" t="inlineStr"/>
      <c r="D11" s="71" t="inlineStr"/>
      <c r="E11" s="71" t="inlineStr"/>
      <c r="F11" s="72" t="inlineStr">
        <is>
          <t>20844-ATT-VD</t>
        </is>
      </c>
      <c r="G11" s="73" t="inlineStr">
        <is>
          <t>20/05/2026</t>
        </is>
      </c>
      <c r="H11" s="73" t="inlineStr">
        <is>
          <t>13/07/2026</t>
        </is>
      </c>
      <c r="I11" s="69" t="n"/>
      <c r="J11" s="74" t="n">
        <v>176782.41</v>
      </c>
      <c r="K11" s="74" t="n">
        <v>234106.28</v>
      </c>
    </row>
    <row r="12" ht="25" customHeight="1">
      <c r="A12" s="66" t="n">
        <v>576353</v>
      </c>
      <c r="B12" s="66" t="n">
        <v>906283993</v>
      </c>
      <c r="C12" s="66" t="inlineStr"/>
      <c r="D12" s="66" t="inlineStr"/>
      <c r="E12" s="66" t="inlineStr"/>
      <c r="F12" s="67" t="inlineStr">
        <is>
          <t>20845-ATT-FLORIANO</t>
        </is>
      </c>
      <c r="G12" s="68" t="inlineStr">
        <is>
          <t>20/05/2026</t>
        </is>
      </c>
      <c r="H12" s="68" t="inlineStr">
        <is>
          <t>13/07/2026</t>
        </is>
      </c>
      <c r="I12" s="69" t="n"/>
      <c r="J12" s="70" t="n">
        <v>17489.31</v>
      </c>
      <c r="K12" s="70" t="n">
        <v>23370.98</v>
      </c>
    </row>
    <row r="13" ht="25" customHeight="1">
      <c r="A13" s="71" t="n">
        <v>576472</v>
      </c>
      <c r="B13" s="71" t="n">
        <v>906285367</v>
      </c>
      <c r="C13" s="71" t="inlineStr"/>
      <c r="D13" s="71" t="inlineStr"/>
      <c r="E13" s="71" t="inlineStr"/>
      <c r="F13" s="72" t="inlineStr">
        <is>
          <t>20845-ATT-FLORIANO</t>
        </is>
      </c>
      <c r="G13" s="73" t="inlineStr">
        <is>
          <t>20/05/2026</t>
        </is>
      </c>
      <c r="H13" s="73" t="inlineStr">
        <is>
          <t>13/07/2026</t>
        </is>
      </c>
      <c r="I13" s="69" t="n"/>
      <c r="J13" s="74" t="n">
        <v>2371.69</v>
      </c>
      <c r="K13" s="74" t="n">
        <v>3187.55</v>
      </c>
    </row>
    <row r="14" ht="25" customHeight="1">
      <c r="A14" s="66" t="n">
        <v>576345</v>
      </c>
      <c r="B14" s="66" t="n">
        <v>906283498</v>
      </c>
      <c r="C14" s="66" t="inlineStr"/>
      <c r="D14" s="66" t="inlineStr"/>
      <c r="E14" s="66" t="inlineStr"/>
      <c r="F14" s="67" t="inlineStr">
        <is>
          <t>20846-ATT-PT SABIÁ</t>
        </is>
      </c>
      <c r="G14" s="68" t="inlineStr">
        <is>
          <t>20/05/2026</t>
        </is>
      </c>
      <c r="H14" s="68" t="inlineStr">
        <is>
          <t>13/07/2026</t>
        </is>
      </c>
      <c r="I14" s="69" t="n"/>
      <c r="J14" s="70" t="n">
        <v>9484.209999999999</v>
      </c>
      <c r="K14" s="70" t="n">
        <v>12595.28</v>
      </c>
    </row>
    <row r="15" ht="25" customHeight="1">
      <c r="A15" s="71" t="n">
        <v>576473</v>
      </c>
      <c r="B15" s="71" t="n">
        <v>906285377</v>
      </c>
      <c r="C15" s="71" t="inlineStr"/>
      <c r="D15" s="71" t="inlineStr"/>
      <c r="E15" s="71" t="inlineStr"/>
      <c r="F15" s="72" t="inlineStr">
        <is>
          <t>20846-ATT-PT SABIÁ</t>
        </is>
      </c>
      <c r="G15" s="73" t="inlineStr">
        <is>
          <t>20/05/2026</t>
        </is>
      </c>
      <c r="H15" s="73" t="inlineStr">
        <is>
          <t>13/07/2026</t>
        </is>
      </c>
      <c r="I15" s="69" t="n"/>
      <c r="J15" s="74" t="n">
        <v>1558.74</v>
      </c>
      <c r="K15" s="74" t="n">
        <v>2094.94</v>
      </c>
    </row>
    <row r="16" ht="25" customHeight="1">
      <c r="A16" s="66" t="n">
        <v>576361</v>
      </c>
      <c r="B16" s="66" t="n">
        <v>906284249</v>
      </c>
      <c r="C16" s="66" t="inlineStr"/>
      <c r="D16" s="66" t="inlineStr"/>
      <c r="E16" s="66" t="inlineStr"/>
      <c r="F16" s="67" t="inlineStr">
        <is>
          <t>21056-ATT - LUIZOTE</t>
        </is>
      </c>
      <c r="G16" s="68" t="inlineStr">
        <is>
          <t>20/05/2026</t>
        </is>
      </c>
      <c r="H16" s="68" t="inlineStr">
        <is>
          <t>13/07/2026</t>
        </is>
      </c>
      <c r="I16" s="69" t="n"/>
      <c r="J16" s="70" t="n">
        <v>16859.54</v>
      </c>
      <c r="K16" s="70" t="n">
        <v>22527.49</v>
      </c>
    </row>
    <row r="17" ht="25" customHeight="1">
      <c r="A17" s="71" t="n">
        <v>576467</v>
      </c>
      <c r="B17" s="71" t="n">
        <v>906285639</v>
      </c>
      <c r="C17" s="71" t="inlineStr"/>
      <c r="D17" s="71" t="inlineStr"/>
      <c r="E17" s="71" t="inlineStr"/>
      <c r="F17" s="72" t="inlineStr">
        <is>
          <t>21056-ATT - LUIZOTE</t>
        </is>
      </c>
      <c r="G17" s="73" t="inlineStr">
        <is>
          <t>20/05/2026</t>
        </is>
      </c>
      <c r="H17" s="73" t="inlineStr">
        <is>
          <t>13/07/2026</t>
        </is>
      </c>
      <c r="I17" s="69" t="n"/>
      <c r="J17" s="74" t="n">
        <v>2694.44</v>
      </c>
      <c r="K17" s="74" t="n">
        <v>3621.32</v>
      </c>
    </row>
    <row r="18" ht="25" customHeight="1">
      <c r="A18" s="66" t="n">
        <v>576362</v>
      </c>
      <c r="B18" s="66" t="n">
        <v>906284244</v>
      </c>
      <c r="C18" s="66" t="inlineStr"/>
      <c r="D18" s="66" t="inlineStr"/>
      <c r="E18" s="66" t="inlineStr"/>
      <c r="F18" s="67" t="inlineStr">
        <is>
          <t>21057-ATT - TABAJARAS</t>
        </is>
      </c>
      <c r="G18" s="68" t="inlineStr">
        <is>
          <t>20/05/2026</t>
        </is>
      </c>
      <c r="H18" s="68" t="inlineStr">
        <is>
          <t>13/07/2026</t>
        </is>
      </c>
      <c r="I18" s="69" t="n"/>
      <c r="J18" s="70" t="n">
        <v>7996.48</v>
      </c>
      <c r="K18" s="70" t="n">
        <v>10661.13</v>
      </c>
    </row>
    <row r="19" ht="25" customHeight="1">
      <c r="A19" s="71" t="n">
        <v>576479</v>
      </c>
      <c r="B19" s="71" t="n">
        <v>906285656</v>
      </c>
      <c r="C19" s="71" t="inlineStr"/>
      <c r="D19" s="71" t="inlineStr"/>
      <c r="E19" s="71" t="inlineStr"/>
      <c r="F19" s="72" t="inlineStr">
        <is>
          <t>21057-ATT - TABAJARAS</t>
        </is>
      </c>
      <c r="G19" s="73" t="inlineStr">
        <is>
          <t>20/05/2026</t>
        </is>
      </c>
      <c r="H19" s="73" t="inlineStr">
        <is>
          <t>13/07/2026</t>
        </is>
      </c>
      <c r="I19" s="69" t="n"/>
      <c r="J19" s="74" t="n">
        <v>1175.82</v>
      </c>
      <c r="K19" s="74" t="n">
        <v>1580.31</v>
      </c>
    </row>
    <row r="20" ht="25" customHeight="1">
      <c r="A20" s="66" t="n">
        <v>576351</v>
      </c>
      <c r="B20" s="66" t="n">
        <v>906283730</v>
      </c>
      <c r="C20" s="66" t="inlineStr"/>
      <c r="D20" s="66" t="inlineStr"/>
      <c r="E20" s="66" t="inlineStr"/>
      <c r="F20" s="67" t="inlineStr">
        <is>
          <t>21058-ATT - STA MONICA</t>
        </is>
      </c>
      <c r="G20" s="68" t="inlineStr">
        <is>
          <t>20/05/2026</t>
        </is>
      </c>
      <c r="H20" s="68" t="inlineStr">
        <is>
          <t>13/07/2026</t>
        </is>
      </c>
      <c r="I20" s="69" t="n"/>
      <c r="J20" s="70" t="n">
        <v>6148.06</v>
      </c>
      <c r="K20" s="70" t="n">
        <v>8135.23</v>
      </c>
    </row>
    <row r="21" ht="25" customHeight="1">
      <c r="A21" s="71" t="n">
        <v>576469</v>
      </c>
      <c r="B21" s="71" t="n">
        <v>906285336</v>
      </c>
      <c r="C21" s="71" t="inlineStr"/>
      <c r="D21" s="71" t="inlineStr"/>
      <c r="E21" s="71" t="inlineStr"/>
      <c r="F21" s="72" t="inlineStr">
        <is>
          <t>21058-ATT - STA MONICA</t>
        </is>
      </c>
      <c r="G21" s="73" t="inlineStr">
        <is>
          <t>20/05/2026</t>
        </is>
      </c>
      <c r="H21" s="73" t="inlineStr">
        <is>
          <t>13/07/2026</t>
        </is>
      </c>
      <c r="I21" s="69" t="n"/>
      <c r="J21" s="74" t="n">
        <v>1598.86</v>
      </c>
      <c r="K21" s="74" t="n">
        <v>2148.87</v>
      </c>
    </row>
    <row r="22" ht="25" customHeight="1">
      <c r="A22" s="66" t="n">
        <v>576358</v>
      </c>
      <c r="B22" s="66" t="n">
        <v>906284156</v>
      </c>
      <c r="C22" s="66" t="inlineStr"/>
      <c r="D22" s="66" t="inlineStr"/>
      <c r="E22" s="66" t="inlineStr"/>
      <c r="F22" s="67" t="inlineStr">
        <is>
          <t>21059-ATT-ROOSEVELT</t>
        </is>
      </c>
      <c r="G22" s="68" t="inlineStr">
        <is>
          <t>20/05/2026</t>
        </is>
      </c>
      <c r="H22" s="68" t="inlineStr">
        <is>
          <t>13/07/2026</t>
        </is>
      </c>
      <c r="I22" s="69" t="n"/>
      <c r="J22" s="70" t="n">
        <v>6591.99</v>
      </c>
      <c r="K22" s="70" t="n">
        <v>8806.49</v>
      </c>
    </row>
    <row r="23" ht="25" customHeight="1">
      <c r="A23" s="71" t="n">
        <v>576468</v>
      </c>
      <c r="B23" s="71" t="n">
        <v>906285615</v>
      </c>
      <c r="C23" s="71" t="inlineStr"/>
      <c r="D23" s="71" t="inlineStr"/>
      <c r="E23" s="71" t="inlineStr"/>
      <c r="F23" s="72" t="inlineStr">
        <is>
          <t>21059-ATT-ROOSEVELT</t>
        </is>
      </c>
      <c r="G23" s="73" t="inlineStr">
        <is>
          <t>20/05/2026</t>
        </is>
      </c>
      <c r="H23" s="73" t="inlineStr">
        <is>
          <t>13/07/2026</t>
        </is>
      </c>
      <c r="I23" s="69" t="n"/>
      <c r="J23" s="74" t="n">
        <v>2150.14</v>
      </c>
      <c r="K23" s="74" t="n">
        <v>2889.79</v>
      </c>
    </row>
    <row r="24" ht="25" customHeight="1">
      <c r="A24" s="66" t="n">
        <v>576360</v>
      </c>
      <c r="B24" s="66" t="n">
        <v>906284256</v>
      </c>
      <c r="C24" s="66" t="inlineStr"/>
      <c r="D24" s="66" t="inlineStr"/>
      <c r="E24" s="66" t="inlineStr"/>
      <c r="F24" s="67" t="inlineStr">
        <is>
          <t>21060-ATT-AF PENA</t>
        </is>
      </c>
      <c r="G24" s="68" t="inlineStr">
        <is>
          <t>20/05/2026</t>
        </is>
      </c>
      <c r="H24" s="68" t="inlineStr">
        <is>
          <t>13/07/2026</t>
        </is>
      </c>
      <c r="I24" s="69" t="n"/>
      <c r="J24" s="70" t="n">
        <v>5509.4</v>
      </c>
      <c r="K24" s="70" t="n">
        <v>7360.09</v>
      </c>
    </row>
    <row r="25" ht="25" customHeight="1">
      <c r="A25" s="71" t="n">
        <v>576480</v>
      </c>
      <c r="B25" s="71" t="n">
        <v>906285677</v>
      </c>
      <c r="C25" s="71" t="inlineStr"/>
      <c r="D25" s="71" t="inlineStr"/>
      <c r="E25" s="71" t="inlineStr"/>
      <c r="F25" s="72" t="inlineStr">
        <is>
          <t>21060-ATT-AF PENA</t>
        </is>
      </c>
      <c r="G25" s="73" t="inlineStr">
        <is>
          <t>20/05/2026</t>
        </is>
      </c>
      <c r="H25" s="73" t="inlineStr">
        <is>
          <t>13/07/2026</t>
        </is>
      </c>
      <c r="I25" s="69" t="n"/>
      <c r="J25" s="74" t="n">
        <v>1631.25</v>
      </c>
      <c r="K25" s="74" t="n">
        <v>2192.41</v>
      </c>
    </row>
    <row r="26" ht="25" customHeight="1">
      <c r="A26" s="66" t="n">
        <v>576446</v>
      </c>
      <c r="B26" s="66" t="n">
        <v>906283479</v>
      </c>
      <c r="C26" s="66" t="inlineStr"/>
      <c r="D26" s="66" t="inlineStr"/>
      <c r="E26" s="66" t="inlineStr"/>
      <c r="F26" s="67" t="inlineStr">
        <is>
          <t>21061-ATT-CENTER SHOP</t>
        </is>
      </c>
      <c r="G26" s="68" t="inlineStr">
        <is>
          <t>20/05/2026</t>
        </is>
      </c>
      <c r="H26" s="68" t="inlineStr">
        <is>
          <t>13/07/2026</t>
        </is>
      </c>
      <c r="I26" s="69" t="n"/>
      <c r="J26" s="70" t="n">
        <v>10691.23</v>
      </c>
      <c r="K26" s="70" t="n">
        <v>14196.41</v>
      </c>
    </row>
    <row r="27" ht="25" customHeight="1">
      <c r="A27" s="71" t="n">
        <v>576517</v>
      </c>
      <c r="B27" s="71" t="n">
        <v>906285515</v>
      </c>
      <c r="C27" s="71" t="inlineStr"/>
      <c r="D27" s="71" t="inlineStr"/>
      <c r="E27" s="71" t="inlineStr"/>
      <c r="F27" s="72" t="inlineStr">
        <is>
          <t>21061-ATT-CENTER SHOP</t>
        </is>
      </c>
      <c r="G27" s="73" t="inlineStr">
        <is>
          <t>20/05/2026</t>
        </is>
      </c>
      <c r="H27" s="73" t="inlineStr">
        <is>
          <t>13/07/2026</t>
        </is>
      </c>
      <c r="I27" s="69" t="n"/>
      <c r="J27" s="74" t="n">
        <v>4746.65</v>
      </c>
      <c r="K27" s="74" t="n">
        <v>6379.5</v>
      </c>
    </row>
    <row r="28" ht="25" customHeight="1">
      <c r="A28" s="66" t="n">
        <v>576344</v>
      </c>
      <c r="B28" s="66" t="n">
        <v>906283584</v>
      </c>
      <c r="C28" s="66" t="inlineStr"/>
      <c r="D28" s="66" t="inlineStr"/>
      <c r="E28" s="66" t="inlineStr"/>
      <c r="F28" s="67" t="inlineStr">
        <is>
          <t>21062-ATT-TERMINAL CT</t>
        </is>
      </c>
      <c r="G28" s="68" t="inlineStr">
        <is>
          <t>20/05/2026</t>
        </is>
      </c>
      <c r="H28" s="68" t="inlineStr">
        <is>
          <t>13/07/2026</t>
        </is>
      </c>
      <c r="I28" s="69" t="n"/>
      <c r="J28" s="70" t="n">
        <v>9107.450000000001</v>
      </c>
      <c r="K28" s="70" t="n">
        <v>12145.67</v>
      </c>
    </row>
    <row r="29" ht="25" customHeight="1">
      <c r="A29" s="71" t="n">
        <v>576502</v>
      </c>
      <c r="B29" s="71" t="n">
        <v>906285438</v>
      </c>
      <c r="C29" s="71" t="inlineStr"/>
      <c r="D29" s="71" t="inlineStr"/>
      <c r="E29" s="71" t="inlineStr"/>
      <c r="F29" s="72" t="inlineStr">
        <is>
          <t>21062-ATT-TERMINAL CT</t>
        </is>
      </c>
      <c r="G29" s="73" t="inlineStr">
        <is>
          <t>20/05/2026</t>
        </is>
      </c>
      <c r="H29" s="73" t="inlineStr">
        <is>
          <t>13/07/2026</t>
        </is>
      </c>
      <c r="I29" s="69" t="n"/>
      <c r="J29" s="74" t="n">
        <v>2224.28</v>
      </c>
      <c r="K29" s="74" t="n">
        <v>2989.42</v>
      </c>
    </row>
    <row r="30" ht="25" customHeight="1">
      <c r="A30" s="66" t="n">
        <v>576445</v>
      </c>
      <c r="B30" s="66" t="n">
        <v>906283506</v>
      </c>
      <c r="C30" s="66" t="inlineStr"/>
      <c r="D30" s="66" t="inlineStr"/>
      <c r="E30" s="66" t="inlineStr"/>
      <c r="F30" s="67" t="inlineStr">
        <is>
          <t>21207-ATT-PLANALTO</t>
        </is>
      </c>
      <c r="G30" s="68" t="inlineStr">
        <is>
          <t>20/05/2026</t>
        </is>
      </c>
      <c r="H30" s="68" t="inlineStr">
        <is>
          <t>13/07/2026</t>
        </is>
      </c>
      <c r="I30" s="69" t="n"/>
      <c r="J30" s="70" t="n">
        <v>1344.59</v>
      </c>
      <c r="K30" s="70" t="n">
        <v>1787.88</v>
      </c>
    </row>
    <row r="31" ht="25" customHeight="1">
      <c r="A31" s="71" t="n">
        <v>576503</v>
      </c>
      <c r="B31" s="71" t="n">
        <v>906285468</v>
      </c>
      <c r="C31" s="71" t="inlineStr"/>
      <c r="D31" s="71" t="inlineStr"/>
      <c r="E31" s="71" t="inlineStr"/>
      <c r="F31" s="72" t="inlineStr">
        <is>
          <t>21207-ATT-PLANALTO</t>
        </is>
      </c>
      <c r="G31" s="73" t="inlineStr">
        <is>
          <t>20/05/2026</t>
        </is>
      </c>
      <c r="H31" s="73" t="inlineStr">
        <is>
          <t>13/07/2026</t>
        </is>
      </c>
      <c r="I31" s="69" t="n"/>
      <c r="J31" s="74" t="n">
        <v>606.3</v>
      </c>
      <c r="K31" s="74" t="n">
        <v>814.88</v>
      </c>
    </row>
    <row r="32" ht="25" customHeight="1">
      <c r="A32" s="66" t="n">
        <v>576457</v>
      </c>
      <c r="B32" s="66" t="n">
        <v>906284422</v>
      </c>
      <c r="C32" s="66" t="inlineStr"/>
      <c r="D32" s="66" t="inlineStr"/>
      <c r="E32" s="66" t="inlineStr"/>
      <c r="F32" s="67" t="inlineStr">
        <is>
          <t>21274-ATT-QSQ MORUMBI</t>
        </is>
      </c>
      <c r="G32" s="68" t="inlineStr">
        <is>
          <t>20/05/2026</t>
        </is>
      </c>
      <c r="H32" s="68" t="inlineStr">
        <is>
          <t>13/07/2026</t>
        </is>
      </c>
      <c r="I32" s="69" t="n"/>
      <c r="J32" s="70" t="n">
        <v>3045.92</v>
      </c>
      <c r="K32" s="70" t="n">
        <v>4088.77</v>
      </c>
    </row>
    <row r="33" ht="25" customHeight="1">
      <c r="A33" s="71" t="n">
        <v>576526</v>
      </c>
      <c r="B33" s="71" t="n">
        <v>906285724</v>
      </c>
      <c r="C33" s="71" t="inlineStr"/>
      <c r="D33" s="71" t="inlineStr"/>
      <c r="E33" s="71" t="inlineStr"/>
      <c r="F33" s="72" t="inlineStr">
        <is>
          <t>21274-ATT-QSQ MORUMBI</t>
        </is>
      </c>
      <c r="G33" s="73" t="inlineStr">
        <is>
          <t>20/05/2026</t>
        </is>
      </c>
      <c r="H33" s="73" t="inlineStr">
        <is>
          <t>13/07/2026</t>
        </is>
      </c>
      <c r="I33" s="69" t="n"/>
      <c r="J33" s="74" t="n">
        <v>477.12</v>
      </c>
      <c r="K33" s="74" t="n">
        <v>641.25</v>
      </c>
    </row>
    <row r="34" ht="25" customHeight="1">
      <c r="A34" s="66" t="n">
        <v>576452</v>
      </c>
      <c r="B34" s="66" t="n">
        <v>906285743</v>
      </c>
      <c r="C34" s="66" t="inlineStr"/>
      <c r="D34" s="66" t="inlineStr"/>
      <c r="E34" s="66" t="inlineStr"/>
      <c r="F34" s="67" t="inlineStr">
        <is>
          <t>22631-ATT-APARECIDA</t>
        </is>
      </c>
      <c r="G34" s="68" t="inlineStr">
        <is>
          <t>20/05/2026</t>
        </is>
      </c>
      <c r="H34" s="68" t="inlineStr">
        <is>
          <t>13/07/2026</t>
        </is>
      </c>
      <c r="I34" s="69" t="n"/>
      <c r="J34" s="70" t="n">
        <v>972.41</v>
      </c>
      <c r="K34" s="70" t="n">
        <v>1306.92</v>
      </c>
    </row>
    <row r="35" ht="25" customHeight="1">
      <c r="A35" s="71" t="n">
        <v>576459</v>
      </c>
      <c r="B35" s="71" t="n">
        <v>906284449</v>
      </c>
      <c r="C35" s="71" t="inlineStr"/>
      <c r="D35" s="71" t="inlineStr"/>
      <c r="E35" s="71" t="inlineStr"/>
      <c r="F35" s="72" t="inlineStr">
        <is>
          <t>22631-ATT-APARECIDA</t>
        </is>
      </c>
      <c r="G35" s="73" t="inlineStr">
        <is>
          <t>20/05/2026</t>
        </is>
      </c>
      <c r="H35" s="73" t="inlineStr">
        <is>
          <t>13/07/2026</t>
        </is>
      </c>
      <c r="I35" s="69" t="n"/>
      <c r="J35" s="74" t="n">
        <v>1745.56</v>
      </c>
      <c r="K35" s="74" t="n">
        <v>2323.86</v>
      </c>
    </row>
    <row r="36" ht="25" customHeight="1">
      <c r="A36" s="66" t="n">
        <v>576458</v>
      </c>
      <c r="B36" s="66" t="n">
        <v>906284367</v>
      </c>
      <c r="C36" s="66" t="inlineStr"/>
      <c r="D36" s="66" t="inlineStr"/>
      <c r="E36" s="66" t="inlineStr"/>
      <c r="F36" s="67" t="inlineStr">
        <is>
          <t>22744-ATT-CANAA</t>
        </is>
      </c>
      <c r="G36" s="68" t="inlineStr">
        <is>
          <t>20/05/2026</t>
        </is>
      </c>
      <c r="H36" s="68" t="inlineStr">
        <is>
          <t>13/07/2026</t>
        </is>
      </c>
      <c r="I36" s="69" t="n"/>
      <c r="J36" s="70" t="n">
        <v>1163.88</v>
      </c>
      <c r="K36" s="70" t="n">
        <v>1545.66</v>
      </c>
    </row>
    <row r="37" ht="25" customHeight="1">
      <c r="A37" s="71" t="n">
        <v>576482</v>
      </c>
      <c r="B37" s="71" t="n">
        <v>906285685</v>
      </c>
      <c r="C37" s="71" t="inlineStr"/>
      <c r="D37" s="71" t="inlineStr"/>
      <c r="E37" s="71" t="inlineStr"/>
      <c r="F37" s="72" t="inlineStr">
        <is>
          <t>22744-ATT-CANAA</t>
        </is>
      </c>
      <c r="G37" s="73" t="inlineStr">
        <is>
          <t>20/05/2026</t>
        </is>
      </c>
      <c r="H37" s="73" t="inlineStr">
        <is>
          <t>13/07/2026</t>
        </is>
      </c>
      <c r="I37" s="69" t="n"/>
      <c r="J37" s="74" t="n">
        <v>532.95</v>
      </c>
      <c r="K37" s="74" t="n">
        <v>716.29</v>
      </c>
    </row>
    <row r="38" ht="25" customHeight="1">
      <c r="A38" s="66" t="n">
        <v>576449</v>
      </c>
      <c r="B38" s="66" t="n">
        <v>906284098</v>
      </c>
      <c r="C38" s="66" t="inlineStr"/>
      <c r="D38" s="66" t="inlineStr"/>
      <c r="E38" s="66" t="inlineStr"/>
      <c r="F38" s="67" t="inlineStr">
        <is>
          <t>23252-ATT-RUI BARBOSA - ARI</t>
        </is>
      </c>
      <c r="G38" s="68" t="inlineStr">
        <is>
          <t>20/05/2026</t>
        </is>
      </c>
      <c r="H38" s="68" t="inlineStr">
        <is>
          <t>13/07/2026</t>
        </is>
      </c>
      <c r="I38" s="69" t="n"/>
      <c r="J38" s="70" t="n">
        <v>12239.16</v>
      </c>
      <c r="K38" s="70" t="n">
        <v>16369.97</v>
      </c>
    </row>
    <row r="39" ht="25" customHeight="1">
      <c r="A39" s="71" t="n">
        <v>576522</v>
      </c>
      <c r="B39" s="71" t="n">
        <v>906285529</v>
      </c>
      <c r="C39" s="71" t="inlineStr"/>
      <c r="D39" s="71" t="inlineStr"/>
      <c r="E39" s="71" t="inlineStr"/>
      <c r="F39" s="72" t="inlineStr">
        <is>
          <t>23252-ATT-RUI BARBOSA - ARI</t>
        </is>
      </c>
      <c r="G39" s="73" t="inlineStr">
        <is>
          <t>20/05/2026</t>
        </is>
      </c>
      <c r="H39" s="73" t="inlineStr">
        <is>
          <t>13/07/2026</t>
        </is>
      </c>
      <c r="I39" s="69" t="n"/>
      <c r="J39" s="74" t="n">
        <v>3023.27</v>
      </c>
      <c r="K39" s="74" t="n">
        <v>4063.27</v>
      </c>
    </row>
    <row r="40" ht="25" customHeight="1">
      <c r="A40" s="66" t="n">
        <v>576350</v>
      </c>
      <c r="B40" s="66" t="n">
        <v>906283796</v>
      </c>
      <c r="C40" s="66" t="inlineStr"/>
      <c r="D40" s="66" t="inlineStr"/>
      <c r="E40" s="66" t="inlineStr"/>
      <c r="F40" s="67" t="inlineStr">
        <is>
          <t>23263-ATT-CENTRO-TPC</t>
        </is>
      </c>
      <c r="G40" s="68" t="inlineStr">
        <is>
          <t>20/05/2026</t>
        </is>
      </c>
      <c r="H40" s="68" t="inlineStr">
        <is>
          <t>13/07/2026</t>
        </is>
      </c>
      <c r="I40" s="69" t="n"/>
      <c r="J40" s="70" t="n">
        <v>4905.6</v>
      </c>
      <c r="K40" s="70" t="n">
        <v>6549.49</v>
      </c>
    </row>
    <row r="41" ht="25" customHeight="1">
      <c r="A41" s="71" t="n">
        <v>576460</v>
      </c>
      <c r="B41" s="71" t="n">
        <v>906285331</v>
      </c>
      <c r="C41" s="71" t="inlineStr"/>
      <c r="D41" s="71" t="inlineStr"/>
      <c r="E41" s="71" t="inlineStr"/>
      <c r="F41" s="72" t="inlineStr">
        <is>
          <t>23263-ATT-CENTRO-TPC</t>
        </is>
      </c>
      <c r="G41" s="73" t="inlineStr">
        <is>
          <t>20/05/2026</t>
        </is>
      </c>
      <c r="H41" s="73" t="inlineStr">
        <is>
          <t>13/07/2026</t>
        </is>
      </c>
      <c r="I41" s="69" t="n"/>
      <c r="J41" s="74" t="n">
        <v>947.28</v>
      </c>
      <c r="K41" s="74" t="n">
        <v>1273.14</v>
      </c>
    </row>
    <row r="42" ht="25" customHeight="1">
      <c r="A42" s="66" t="n">
        <v>576348</v>
      </c>
      <c r="B42" s="66" t="n">
        <v>906283685</v>
      </c>
      <c r="C42" s="66" t="inlineStr"/>
      <c r="D42" s="66" t="inlineStr"/>
      <c r="E42" s="66" t="inlineStr"/>
      <c r="F42" s="67" t="inlineStr">
        <is>
          <t>23264-ATT-MATO GROSSO - ARI</t>
        </is>
      </c>
      <c r="G42" s="68" t="inlineStr">
        <is>
          <t>20/05/2026</t>
        </is>
      </c>
      <c r="H42" s="68" t="inlineStr">
        <is>
          <t>13/07/2026</t>
        </is>
      </c>
      <c r="I42" s="69" t="n"/>
      <c r="J42" s="70" t="n">
        <v>1607.86</v>
      </c>
      <c r="K42" s="70" t="n">
        <v>2135.2</v>
      </c>
    </row>
    <row r="43" ht="25" customHeight="1">
      <c r="A43" s="71" t="n">
        <v>576518</v>
      </c>
      <c r="B43" s="71" t="n">
        <v>906285528</v>
      </c>
      <c r="C43" s="71" t="inlineStr"/>
      <c r="D43" s="71" t="inlineStr"/>
      <c r="E43" s="71" t="inlineStr"/>
      <c r="F43" s="72" t="inlineStr">
        <is>
          <t>23264-ATT-MATO GROSSO - ARI</t>
        </is>
      </c>
      <c r="G43" s="73" t="inlineStr">
        <is>
          <t>20/05/2026</t>
        </is>
      </c>
      <c r="H43" s="73" t="inlineStr">
        <is>
          <t>13/07/2026</t>
        </is>
      </c>
      <c r="I43" s="69" t="n"/>
      <c r="J43" s="74" t="n">
        <v>700.27</v>
      </c>
      <c r="K43" s="74" t="n">
        <v>941.16</v>
      </c>
    </row>
    <row r="44" ht="25" customHeight="1">
      <c r="A44" s="66" t="n">
        <v>576357</v>
      </c>
      <c r="B44" s="66" t="n">
        <v>906284112</v>
      </c>
      <c r="C44" s="66" t="inlineStr"/>
      <c r="D44" s="66" t="inlineStr"/>
      <c r="E44" s="66" t="inlineStr"/>
      <c r="F44" s="67" t="inlineStr">
        <is>
          <t>23269-ATT-BOSQUE - ARI</t>
        </is>
      </c>
      <c r="G44" s="68" t="inlineStr">
        <is>
          <t>20/05/2026</t>
        </is>
      </c>
      <c r="H44" s="68" t="inlineStr">
        <is>
          <t>13/07/2026</t>
        </is>
      </c>
      <c r="I44" s="69" t="n"/>
      <c r="J44" s="70" t="n">
        <v>1311.24</v>
      </c>
      <c r="K44" s="70" t="n">
        <v>1741.9</v>
      </c>
    </row>
    <row r="45" ht="25" customHeight="1">
      <c r="A45" s="71" t="n">
        <v>576484</v>
      </c>
      <c r="B45" s="71" t="n">
        <v>906285560</v>
      </c>
      <c r="C45" s="71" t="inlineStr"/>
      <c r="D45" s="71" t="inlineStr"/>
      <c r="E45" s="71" t="inlineStr"/>
      <c r="F45" s="72" t="inlineStr">
        <is>
          <t>23269-ATT-BOSQUE - ARI</t>
        </is>
      </c>
      <c r="G45" s="73" t="inlineStr">
        <is>
          <t>20/05/2026</t>
        </is>
      </c>
      <c r="H45" s="73" t="inlineStr">
        <is>
          <t>13/07/2026</t>
        </is>
      </c>
      <c r="I45" s="69" t="n"/>
      <c r="J45" s="74" t="n">
        <v>528.8</v>
      </c>
      <c r="K45" s="74" t="n">
        <v>710.71</v>
      </c>
    </row>
    <row r="46" ht="25" customHeight="1">
      <c r="A46" s="66" t="n">
        <v>576434</v>
      </c>
      <c r="B46" s="66" t="n">
        <v>906287015</v>
      </c>
      <c r="C46" s="66" t="inlineStr"/>
      <c r="D46" s="66" t="inlineStr"/>
      <c r="E46" s="66" t="inlineStr"/>
      <c r="F46" s="67" t="inlineStr">
        <is>
          <t>23275-ATT-CENTRO - ARI</t>
        </is>
      </c>
      <c r="G46" s="68" t="inlineStr">
        <is>
          <t>20/05/2026</t>
        </is>
      </c>
      <c r="H46" s="68" t="inlineStr">
        <is>
          <t>13/07/2026</t>
        </is>
      </c>
      <c r="I46" s="69" t="n"/>
      <c r="J46" s="70" t="n">
        <v>30188.83</v>
      </c>
      <c r="K46" s="70" t="n">
        <v>40573.81</v>
      </c>
    </row>
    <row r="47" ht="25" customHeight="1">
      <c r="A47" s="71" t="n">
        <v>576477</v>
      </c>
      <c r="B47" s="71" t="n">
        <v>906284229</v>
      </c>
      <c r="C47" s="71" t="inlineStr"/>
      <c r="D47" s="71" t="inlineStr"/>
      <c r="E47" s="71" t="inlineStr"/>
      <c r="F47" s="72" t="inlineStr">
        <is>
          <t>23275-ATT-CENTRO - ARI</t>
        </is>
      </c>
      <c r="G47" s="73" t="inlineStr">
        <is>
          <t>20/05/2026</t>
        </is>
      </c>
      <c r="H47" s="73" t="inlineStr">
        <is>
          <t>13/07/2026</t>
        </is>
      </c>
      <c r="I47" s="69" t="n"/>
      <c r="J47" s="74" t="n">
        <v>116688.97</v>
      </c>
      <c r="K47" s="74" t="n">
        <v>155859.49</v>
      </c>
    </row>
    <row r="48" ht="25" customHeight="1">
      <c r="A48" s="66" t="n">
        <v>576478</v>
      </c>
      <c r="B48" s="66" t="n">
        <v>906284229</v>
      </c>
      <c r="C48" s="66" t="inlineStr"/>
      <c r="D48" s="66" t="inlineStr"/>
      <c r="E48" s="66" t="inlineStr"/>
      <c r="F48" s="67" t="inlineStr">
        <is>
          <t>23275-ATT-CENTRO - ARI</t>
        </is>
      </c>
      <c r="G48" s="68" t="inlineStr">
        <is>
          <t>20/05/2026</t>
        </is>
      </c>
      <c r="H48" s="68" t="inlineStr">
        <is>
          <t>13/07/2026</t>
        </is>
      </c>
      <c r="I48" s="69" t="n"/>
      <c r="J48" s="70" t="n">
        <v>1716.31</v>
      </c>
      <c r="K48" s="70" t="n">
        <v>2306.72</v>
      </c>
    </row>
    <row r="49" ht="25" customHeight="1">
      <c r="A49" s="71" t="n">
        <v>576515</v>
      </c>
      <c r="B49" s="71" t="n">
        <v>906285511</v>
      </c>
      <c r="C49" s="71" t="inlineStr"/>
      <c r="D49" s="71" t="inlineStr"/>
      <c r="E49" s="71" t="inlineStr"/>
      <c r="F49" s="72" t="inlineStr">
        <is>
          <t>23275-ATT-CENTRO - ARI</t>
        </is>
      </c>
      <c r="G49" s="73" t="inlineStr">
        <is>
          <t>20/05/2026</t>
        </is>
      </c>
      <c r="H49" s="73" t="inlineStr">
        <is>
          <t>13/07/2026</t>
        </is>
      </c>
      <c r="I49" s="69" t="n"/>
      <c r="J49" s="74" t="n">
        <v>16337.88</v>
      </c>
      <c r="K49" s="74" t="n">
        <v>21958.12</v>
      </c>
    </row>
    <row r="50" ht="25" customHeight="1">
      <c r="A50" s="66" t="n">
        <v>576455</v>
      </c>
      <c r="B50" s="66" t="n">
        <v>906284111</v>
      </c>
      <c r="C50" s="66" t="inlineStr"/>
      <c r="D50" s="66" t="inlineStr"/>
      <c r="E50" s="66" t="inlineStr"/>
      <c r="F50" s="67" t="inlineStr">
        <is>
          <t>24417-ER JARDIM PATRICIA</t>
        </is>
      </c>
      <c r="G50" s="68" t="inlineStr">
        <is>
          <t>20/05/2026</t>
        </is>
      </c>
      <c r="H50" s="68" t="inlineStr">
        <is>
          <t>13/07/2026</t>
        </is>
      </c>
      <c r="I50" s="69" t="n"/>
      <c r="J50" s="70" t="n">
        <v>45877.39</v>
      </c>
      <c r="K50" s="70" t="n">
        <v>61147.87</v>
      </c>
    </row>
    <row r="51" ht="25" customFormat="1" customHeight="1" s="3">
      <c r="A51" s="71" t="n">
        <v>576510</v>
      </c>
      <c r="B51" s="71" t="n">
        <v>906285490</v>
      </c>
      <c r="C51" s="71" t="inlineStr"/>
      <c r="D51" s="71" t="inlineStr"/>
      <c r="E51" s="71" t="inlineStr"/>
      <c r="F51" s="72" t="inlineStr">
        <is>
          <t>24417-ER JARDIM PATRICIA</t>
        </is>
      </c>
      <c r="G51" s="73" t="inlineStr">
        <is>
          <t>20/05/2026</t>
        </is>
      </c>
      <c r="H51" s="73" t="inlineStr">
        <is>
          <t>13/07/2026</t>
        </is>
      </c>
      <c r="I51" s="69" t="n"/>
      <c r="J51" s="74" t="n">
        <v>12280.5</v>
      </c>
      <c r="K51" s="74" t="n">
        <v>16504.99</v>
      </c>
      <c r="L51" s="1" t="n"/>
      <c r="M51" s="1" t="n"/>
      <c r="N51" s="25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</row>
    <row r="52" ht="25" customFormat="1" customHeight="1" s="3">
      <c r="A52" s="66" t="n">
        <v>576519</v>
      </c>
      <c r="B52" s="66" t="n">
        <v>906287110</v>
      </c>
      <c r="C52" s="66" t="inlineStr"/>
      <c r="D52" s="66" t="inlineStr"/>
      <c r="E52" s="66" t="inlineStr"/>
      <c r="F52" s="67" t="inlineStr">
        <is>
          <t>24417-ER JARDIM PATRICIA</t>
        </is>
      </c>
      <c r="G52" s="68" t="inlineStr">
        <is>
          <t>20/05/2026</t>
        </is>
      </c>
      <c r="H52" s="68" t="inlineStr">
        <is>
          <t>13/07/2026</t>
        </is>
      </c>
      <c r="I52" s="69" t="n"/>
      <c r="J52" s="70" t="n">
        <v>16850.72</v>
      </c>
      <c r="K52" s="70" t="n">
        <v>22647.38</v>
      </c>
      <c r="L52" s="1" t="n"/>
      <c r="M52" s="1" t="n"/>
      <c r="N52" s="25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</row>
    <row r="53" ht="25" customFormat="1" customHeight="1" s="3">
      <c r="A53" s="71" t="n">
        <v>574392</v>
      </c>
      <c r="B53" s="71" t="n">
        <v>906287051</v>
      </c>
      <c r="C53" s="71" t="inlineStr"/>
      <c r="D53" s="71" t="inlineStr"/>
      <c r="E53" s="71" t="inlineStr"/>
      <c r="F53" s="72" t="inlineStr">
        <is>
          <t>CNPJ: 03982400001290 - Nome: COMERCIAL ATT LTDA - EPP</t>
        </is>
      </c>
      <c r="G53" s="73" t="inlineStr">
        <is>
          <t>19/05/2026</t>
        </is>
      </c>
      <c r="H53" s="73" t="inlineStr">
        <is>
          <t>27/07/2026</t>
        </is>
      </c>
      <c r="I53" s="69" t="n"/>
      <c r="J53" s="74" t="n">
        <v>107746.49</v>
      </c>
      <c r="K53" s="74" t="n">
        <v>144811.3</v>
      </c>
      <c r="L53" s="1" t="n"/>
      <c r="M53" s="1" t="n"/>
      <c r="N53" s="25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</row>
    <row r="54" ht="25" customFormat="1" customHeight="1" s="3">
      <c r="A54" s="66" t="n">
        <v>574402</v>
      </c>
      <c r="B54" s="66" t="n">
        <v>906287082</v>
      </c>
      <c r="C54" s="66" t="inlineStr"/>
      <c r="D54" s="66" t="inlineStr"/>
      <c r="E54" s="66" t="inlineStr"/>
      <c r="F54" s="67" t="inlineStr">
        <is>
          <t>CNPJ: 03982400001967 - Nome: COMERCIAL ATT LTDA</t>
        </is>
      </c>
      <c r="G54" s="68" t="inlineStr">
        <is>
          <t>19/05/2026</t>
        </is>
      </c>
      <c r="H54" s="68" t="inlineStr">
        <is>
          <t>27/07/2026</t>
        </is>
      </c>
      <c r="I54" s="69" t="n"/>
      <c r="J54" s="70" t="n">
        <v>17572.44</v>
      </c>
      <c r="K54" s="70" t="n">
        <v>23617.36</v>
      </c>
      <c r="L54" s="1" t="n"/>
      <c r="M54" s="1" t="n"/>
      <c r="N54" s="25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</row>
    <row r="55" ht="25" customFormat="1" customHeight="1" s="3">
      <c r="A55" s="71" t="n">
        <v>574413</v>
      </c>
      <c r="B55" s="71" t="n">
        <v>906287097</v>
      </c>
      <c r="C55" s="71" t="inlineStr"/>
      <c r="D55" s="71" t="inlineStr"/>
      <c r="E55" s="71" t="inlineStr"/>
      <c r="F55" s="72" t="inlineStr">
        <is>
          <t>CNPJ: 03982400002009 - Nome: COMERCIAL ATT LTDA</t>
        </is>
      </c>
      <c r="G55" s="73" t="inlineStr">
        <is>
          <t>19/05/2026</t>
        </is>
      </c>
      <c r="H55" s="73" t="inlineStr">
        <is>
          <t>27/07/2026</t>
        </is>
      </c>
      <c r="I55" s="69" t="n"/>
      <c r="J55" s="74" t="n">
        <v>43059.42</v>
      </c>
      <c r="K55" s="74" t="n">
        <v>57871.88</v>
      </c>
      <c r="L55" s="1" t="n"/>
      <c r="M55" s="1" t="n"/>
      <c r="N55" s="25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</row>
    <row r="56" ht="25" customFormat="1" customHeight="1" s="3">
      <c r="A56" s="66" t="n">
        <v>576753</v>
      </c>
      <c r="B56" s="66" t="n">
        <v>906283524</v>
      </c>
      <c r="C56" s="66" t="inlineStr"/>
      <c r="D56" s="66" t="inlineStr"/>
      <c r="E56" s="66" t="inlineStr"/>
      <c r="F56" s="67" t="inlineStr">
        <is>
          <t>CNPJ: 03982400001100 - Nome: COMERCIAL ATT LTDA</t>
        </is>
      </c>
      <c r="G56" s="68" t="inlineStr">
        <is>
          <t>20/05/2026</t>
        </is>
      </c>
      <c r="H56" s="68" t="inlineStr">
        <is>
          <t>13/07/2026</t>
        </is>
      </c>
      <c r="I56" s="69" t="n"/>
      <c r="J56" s="70" t="n">
        <v>4074.48</v>
      </c>
      <c r="K56" s="70" t="n">
        <v>5459.05</v>
      </c>
      <c r="L56" s="1" t="n"/>
      <c r="M56" s="1" t="n"/>
      <c r="N56" s="25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</row>
    <row r="57" ht="25" customFormat="1" customHeight="1" s="3">
      <c r="A57" s="71" t="n">
        <v>576757</v>
      </c>
      <c r="B57" s="71" t="n">
        <v>906283527</v>
      </c>
      <c r="C57" s="71" t="inlineStr"/>
      <c r="D57" s="71" t="inlineStr"/>
      <c r="E57" s="71" t="inlineStr"/>
      <c r="F57" s="72" t="inlineStr">
        <is>
          <t>CNPJ: 03982400001371 - Nome: COMERCIAL ATT LTDA</t>
        </is>
      </c>
      <c r="G57" s="73" t="inlineStr">
        <is>
          <t>20/05/2026</t>
        </is>
      </c>
      <c r="H57" s="73" t="inlineStr">
        <is>
          <t>13/07/2026</t>
        </is>
      </c>
      <c r="I57" s="69" t="n"/>
      <c r="J57" s="74" t="n">
        <v>6160.02</v>
      </c>
      <c r="K57" s="74" t="n">
        <v>8256.639999999999</v>
      </c>
      <c r="L57" s="1" t="n"/>
      <c r="M57" s="1" t="n"/>
      <c r="N57" s="2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</row>
    <row r="58" ht="25" customFormat="1" customHeight="1" s="3">
      <c r="A58" s="66" t="n">
        <v>576759</v>
      </c>
      <c r="B58" s="66" t="n">
        <v>906283680</v>
      </c>
      <c r="C58" s="66" t="inlineStr"/>
      <c r="D58" s="66" t="inlineStr"/>
      <c r="E58" s="66" t="inlineStr"/>
      <c r="F58" s="67" t="inlineStr">
        <is>
          <t>CNPJ: 03982400001533 - Nome: COMERCIAL ATT LTDA - EPP</t>
        </is>
      </c>
      <c r="G58" s="68" t="inlineStr">
        <is>
          <t>20/05/2026</t>
        </is>
      </c>
      <c r="H58" s="68" t="inlineStr">
        <is>
          <t>13/07/2026</t>
        </is>
      </c>
      <c r="I58" s="69" t="n"/>
      <c r="J58" s="70" t="n">
        <v>11516.18</v>
      </c>
      <c r="K58" s="70" t="n">
        <v>15458.67</v>
      </c>
      <c r="L58" s="1" t="n"/>
      <c r="M58" s="1" t="n"/>
      <c r="N58" s="25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</row>
    <row r="59" ht="25" customFormat="1" customHeight="1" s="3">
      <c r="A59" s="71" t="n">
        <v>576762</v>
      </c>
      <c r="B59" s="71" t="n">
        <v>906283715</v>
      </c>
      <c r="C59" s="71" t="inlineStr"/>
      <c r="D59" s="71" t="inlineStr"/>
      <c r="E59" s="71" t="inlineStr"/>
      <c r="F59" s="72" t="inlineStr">
        <is>
          <t>CNPJ: 03982400000219 - Nome: COMERCIAL ATT LTDA</t>
        </is>
      </c>
      <c r="G59" s="73" t="inlineStr">
        <is>
          <t>20/05/2026</t>
        </is>
      </c>
      <c r="H59" s="73" t="inlineStr">
        <is>
          <t>13/07/2026</t>
        </is>
      </c>
      <c r="I59" s="69" t="n"/>
      <c r="J59" s="74" t="n">
        <v>25442.12</v>
      </c>
      <c r="K59" s="74" t="n">
        <v>34116.03</v>
      </c>
      <c r="L59" s="1" t="n"/>
      <c r="M59" s="1" t="n"/>
      <c r="N59" s="25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</row>
    <row r="60" ht="25" customFormat="1" customHeight="1" s="3">
      <c r="A60" s="66" t="n">
        <v>577626</v>
      </c>
      <c r="B60" s="66" t="n">
        <v>906283957</v>
      </c>
      <c r="C60" s="66" t="inlineStr"/>
      <c r="D60" s="66" t="inlineStr"/>
      <c r="E60" s="66" t="inlineStr"/>
      <c r="F60" s="67" t="inlineStr">
        <is>
          <t>CNPJ: 03982400000561 - Nome: COMERCIAL ATT LTDA</t>
        </is>
      </c>
      <c r="G60" s="68" t="inlineStr">
        <is>
          <t>20/05/2026</t>
        </is>
      </c>
      <c r="H60" s="68" t="inlineStr">
        <is>
          <t>13/07/2026</t>
        </is>
      </c>
      <c r="I60" s="69" t="n"/>
      <c r="J60" s="70" t="n">
        <v>5194.29</v>
      </c>
      <c r="K60" s="70" t="n">
        <v>6899.61</v>
      </c>
      <c r="L60" s="1" t="n"/>
      <c r="M60" s="1" t="n"/>
      <c r="N60" s="25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</row>
    <row r="61" ht="25" customFormat="1" customHeight="1" s="3">
      <c r="A61" s="71" t="n">
        <v>577635</v>
      </c>
      <c r="B61" s="71" t="n">
        <v>906284107</v>
      </c>
      <c r="C61" s="71" t="inlineStr"/>
      <c r="D61" s="71" t="inlineStr"/>
      <c r="E61" s="71" t="inlineStr"/>
      <c r="F61" s="72" t="inlineStr">
        <is>
          <t>CNPJ: 03982400000480 - Nome: COMERCIAL ATT LTDA</t>
        </is>
      </c>
      <c r="G61" s="73" t="inlineStr">
        <is>
          <t>20/05/2026</t>
        </is>
      </c>
      <c r="H61" s="73" t="inlineStr">
        <is>
          <t>13/07/2026</t>
        </is>
      </c>
      <c r="I61" s="69" t="n"/>
      <c r="J61" s="74" t="n">
        <v>10925.71</v>
      </c>
      <c r="K61" s="74" t="n">
        <v>14635.7</v>
      </c>
      <c r="L61" s="1" t="n"/>
      <c r="M61" s="1" t="n"/>
      <c r="N61" s="25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</row>
    <row r="62" ht="25" customFormat="1" customHeight="1" s="3">
      <c r="A62" s="66" t="n">
        <v>577636</v>
      </c>
      <c r="B62" s="66" t="n">
        <v>906284250</v>
      </c>
      <c r="C62" s="66" t="inlineStr"/>
      <c r="D62" s="66" t="inlineStr"/>
      <c r="E62" s="66" t="inlineStr"/>
      <c r="F62" s="67" t="inlineStr">
        <is>
          <t>CNPJ: 03982400001029 - Nome: COMERCIAL ATT LTDA</t>
        </is>
      </c>
      <c r="G62" s="68" t="inlineStr">
        <is>
          <t>20/05/2026</t>
        </is>
      </c>
      <c r="H62" s="68" t="inlineStr">
        <is>
          <t>13/07/2026</t>
        </is>
      </c>
      <c r="I62" s="69" t="n"/>
      <c r="J62" s="70" t="n">
        <v>7608.97</v>
      </c>
      <c r="K62" s="70" t="n">
        <v>10200.65</v>
      </c>
      <c r="L62" s="1" t="n"/>
      <c r="M62" s="1" t="n"/>
      <c r="N62" s="25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</row>
    <row r="63" ht="25" customFormat="1" customHeight="1" s="3">
      <c r="A63" s="71" t="n">
        <v>577637</v>
      </c>
      <c r="B63" s="71" t="n">
        <v>906284364</v>
      </c>
      <c r="C63" s="71" t="inlineStr"/>
      <c r="D63" s="71" t="inlineStr"/>
      <c r="E63" s="71" t="inlineStr"/>
      <c r="F63" s="72" t="inlineStr">
        <is>
          <t>CNPJ: 03982400000723 - Nome: COMERCIAL ATT LTDA</t>
        </is>
      </c>
      <c r="G63" s="73" t="inlineStr">
        <is>
          <t>20/05/2026</t>
        </is>
      </c>
      <c r="H63" s="73" t="inlineStr">
        <is>
          <t>13/07/2026</t>
        </is>
      </c>
      <c r="I63" s="69" t="n"/>
      <c r="J63" s="74" t="n">
        <v>6820.15</v>
      </c>
      <c r="K63" s="74" t="n">
        <v>9087.530000000001</v>
      </c>
      <c r="L63" s="1" t="n"/>
      <c r="M63" s="1" t="n"/>
      <c r="N63" s="2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</row>
    <row r="64" ht="25" customFormat="1" customHeight="1" s="3">
      <c r="A64" s="66" t="n">
        <v>577639</v>
      </c>
      <c r="B64" s="66" t="n">
        <v>906284284</v>
      </c>
      <c r="C64" s="66" t="inlineStr"/>
      <c r="D64" s="66" t="inlineStr"/>
      <c r="E64" s="66" t="inlineStr"/>
      <c r="F64" s="67" t="inlineStr">
        <is>
          <t>CNPJ: 03982400000642 - Nome: COMERCIAL ATT LTDA</t>
        </is>
      </c>
      <c r="G64" s="68" t="inlineStr">
        <is>
          <t>20/05/2026</t>
        </is>
      </c>
      <c r="H64" s="68" t="inlineStr">
        <is>
          <t>13/07/2026</t>
        </is>
      </c>
      <c r="I64" s="69" t="n"/>
      <c r="J64" s="70" t="n">
        <v>5217.52</v>
      </c>
      <c r="K64" s="70" t="n">
        <v>6969.07</v>
      </c>
      <c r="L64" s="1" t="n"/>
      <c r="M64" s="1" t="n"/>
      <c r="N64" s="25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</row>
    <row r="65" ht="25" customFormat="1" customHeight="1" s="3">
      <c r="A65" s="71" t="n">
        <v>577641</v>
      </c>
      <c r="B65" s="71" t="n">
        <v>906285373</v>
      </c>
      <c r="C65" s="71" t="inlineStr"/>
      <c r="D65" s="71" t="inlineStr"/>
      <c r="E65" s="71" t="inlineStr"/>
      <c r="F65" s="72" t="inlineStr">
        <is>
          <t>CNPJ: 03982400001100 - Nome: COMERCIAL ATT LTDA</t>
        </is>
      </c>
      <c r="G65" s="73" t="inlineStr">
        <is>
          <t>20/05/2026</t>
        </is>
      </c>
      <c r="H65" s="73" t="inlineStr">
        <is>
          <t>13/07/2026</t>
        </is>
      </c>
      <c r="I65" s="69" t="n"/>
      <c r="J65" s="74" t="n">
        <v>954.27</v>
      </c>
      <c r="K65" s="74" t="n">
        <v>1282.55</v>
      </c>
      <c r="L65" s="1" t="n"/>
      <c r="M65" s="1" t="n"/>
      <c r="N65" s="25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</row>
    <row r="66" ht="25" customFormat="1" customHeight="1" s="3">
      <c r="A66" s="66" t="n">
        <v>577648</v>
      </c>
      <c r="B66" s="66" t="n">
        <v>906285465</v>
      </c>
      <c r="C66" s="66" t="inlineStr"/>
      <c r="D66" s="66" t="inlineStr"/>
      <c r="E66" s="66" t="inlineStr"/>
      <c r="F66" s="67" t="inlineStr">
        <is>
          <t>CNPJ: 03982400000219 - Nome: COMERCIAL ATT LTDA</t>
        </is>
      </c>
      <c r="G66" s="68" t="inlineStr">
        <is>
          <t>20/05/2026</t>
        </is>
      </c>
      <c r="H66" s="68" t="inlineStr">
        <is>
          <t>13/07/2026</t>
        </is>
      </c>
      <c r="I66" s="69" t="n"/>
      <c r="J66" s="70" t="n">
        <v>1249.96</v>
      </c>
      <c r="K66" s="70" t="n">
        <v>1679.95</v>
      </c>
      <c r="L66" s="1" t="n"/>
      <c r="M66" s="1" t="n"/>
      <c r="N66" s="25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</row>
    <row r="67" ht="25" customFormat="1" customHeight="1" s="3">
      <c r="A67" s="71" t="n">
        <v>577652</v>
      </c>
      <c r="B67" s="71" t="n">
        <v>906284399</v>
      </c>
      <c r="C67" s="71" t="inlineStr"/>
      <c r="D67" s="71" t="inlineStr"/>
      <c r="E67" s="71" t="inlineStr"/>
      <c r="F67" s="72" t="inlineStr">
        <is>
          <t>CNPJ: 03982400000804 - Nome: COMERCIAL ATT LTDA</t>
        </is>
      </c>
      <c r="G67" s="73" t="inlineStr">
        <is>
          <t>20/05/2026</t>
        </is>
      </c>
      <c r="H67" s="73" t="inlineStr">
        <is>
          <t>13/07/2026</t>
        </is>
      </c>
      <c r="I67" s="69" t="n"/>
      <c r="J67" s="74" t="n">
        <v>4889.04</v>
      </c>
      <c r="K67" s="74" t="n">
        <v>6556.02</v>
      </c>
      <c r="L67" s="1" t="n"/>
      <c r="M67" s="1" t="n"/>
      <c r="N67" s="25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</row>
    <row r="68" ht="25" customFormat="1" customHeight="1" s="3">
      <c r="A68" s="66" t="n">
        <v>577662</v>
      </c>
      <c r="B68" s="66" t="n">
        <v>906284459</v>
      </c>
      <c r="C68" s="66" t="inlineStr"/>
      <c r="D68" s="66" t="inlineStr"/>
      <c r="E68" s="66" t="inlineStr"/>
      <c r="F68" s="67" t="inlineStr">
        <is>
          <t>CNPJ: 03982400001614 - Nome: COMERCIAL ATT LTDA</t>
        </is>
      </c>
      <c r="G68" s="68" t="inlineStr">
        <is>
          <t>20/05/2026</t>
        </is>
      </c>
      <c r="H68" s="68" t="inlineStr">
        <is>
          <t>13/07/2026</t>
        </is>
      </c>
      <c r="I68" s="69" t="n"/>
      <c r="J68" s="70" t="n">
        <v>7832.96</v>
      </c>
      <c r="K68" s="70" t="n">
        <v>10425.62</v>
      </c>
      <c r="L68" s="1" t="n"/>
      <c r="M68" s="1" t="n"/>
      <c r="N68" s="2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</row>
    <row r="69" ht="25" customFormat="1" customHeight="1" s="3">
      <c r="A69" s="71" t="n">
        <v>577664</v>
      </c>
      <c r="B69" s="71" t="n">
        <v>906285451</v>
      </c>
      <c r="C69" s="71" t="inlineStr"/>
      <c r="D69" s="71" t="inlineStr"/>
      <c r="E69" s="71" t="inlineStr"/>
      <c r="F69" s="72" t="inlineStr">
        <is>
          <t>CNPJ: 03982400000561 - Nome: COMERCIAL ATT LTDA</t>
        </is>
      </c>
      <c r="G69" s="73" t="inlineStr">
        <is>
          <t>20/05/2026</t>
        </is>
      </c>
      <c r="H69" s="73" t="inlineStr">
        <is>
          <t>13/07/2026</t>
        </is>
      </c>
      <c r="I69" s="69" t="n"/>
      <c r="J69" s="74" t="n">
        <v>1088.59</v>
      </c>
      <c r="K69" s="74" t="n">
        <v>1463.07</v>
      </c>
      <c r="L69" s="1" t="n"/>
      <c r="M69" s="1" t="n"/>
      <c r="N69" s="25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</row>
    <row r="70" ht="25" customFormat="1" customHeight="1" s="3">
      <c r="A70" s="66" t="n">
        <v>577666</v>
      </c>
      <c r="B70" s="66" t="n">
        <v>906285480</v>
      </c>
      <c r="C70" s="66" t="inlineStr"/>
      <c r="D70" s="66" t="inlineStr"/>
      <c r="E70" s="66" t="inlineStr"/>
      <c r="F70" s="67" t="inlineStr">
        <is>
          <t>CNPJ: 03982400000480 - Nome: COMERCIAL ATT LTDA</t>
        </is>
      </c>
      <c r="G70" s="68" t="inlineStr">
        <is>
          <t>20/05/2026</t>
        </is>
      </c>
      <c r="H70" s="68" t="inlineStr">
        <is>
          <t>13/07/2026</t>
        </is>
      </c>
      <c r="I70" s="69" t="n"/>
      <c r="J70" s="70" t="n">
        <v>2224.28</v>
      </c>
      <c r="K70" s="70" t="n">
        <v>2989.42</v>
      </c>
      <c r="L70" s="1" t="n"/>
      <c r="M70" s="1" t="n"/>
      <c r="N70" s="25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</row>
    <row r="71" ht="25" customFormat="1" customHeight="1" s="3">
      <c r="A71" s="71" t="n">
        <v>577667</v>
      </c>
      <c r="B71" s="71" t="n">
        <v>906285510</v>
      </c>
      <c r="C71" s="71" t="inlineStr"/>
      <c r="D71" s="71" t="inlineStr"/>
      <c r="E71" s="71" t="inlineStr"/>
      <c r="F71" s="72" t="inlineStr">
        <is>
          <t>CNPJ: 03982400001533 - Nome: COMERCIAL ATT LTDA - EPP</t>
        </is>
      </c>
      <c r="G71" s="73" t="inlineStr">
        <is>
          <t>20/05/2026</t>
        </is>
      </c>
      <c r="H71" s="73" t="inlineStr">
        <is>
          <t>13/07/2026</t>
        </is>
      </c>
      <c r="I71" s="69" t="n"/>
      <c r="J71" s="74" t="n">
        <v>907.16</v>
      </c>
      <c r="K71" s="74" t="n">
        <v>1219.23</v>
      </c>
      <c r="L71" s="1" t="n"/>
      <c r="M71" s="1" t="n"/>
      <c r="N71" s="25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</row>
    <row r="72" ht="25" customFormat="1" customHeight="1" s="3">
      <c r="A72" s="66" t="n">
        <v>577671</v>
      </c>
      <c r="B72" s="66" t="n">
        <v>906285537</v>
      </c>
      <c r="C72" s="66" t="inlineStr"/>
      <c r="D72" s="66" t="inlineStr"/>
      <c r="E72" s="66" t="inlineStr"/>
      <c r="F72" s="67" t="inlineStr">
        <is>
          <t>CNPJ: 03982400001371 - Nome: COMERCIAL ATT LTDA</t>
        </is>
      </c>
      <c r="G72" s="68" t="inlineStr">
        <is>
          <t>20/05/2026</t>
        </is>
      </c>
      <c r="H72" s="68" t="inlineStr">
        <is>
          <t>13/07/2026</t>
        </is>
      </c>
      <c r="I72" s="69" t="n"/>
      <c r="J72" s="70" t="n">
        <v>2265.52</v>
      </c>
      <c r="K72" s="70" t="n">
        <v>3044.86</v>
      </c>
      <c r="L72" s="1" t="n"/>
      <c r="M72" s="1" t="n"/>
      <c r="N72" s="25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</row>
    <row r="73" ht="25" customFormat="1" customHeight="1" s="3">
      <c r="A73" s="71" t="n">
        <v>577683</v>
      </c>
      <c r="B73" s="71" t="n">
        <v>906285651</v>
      </c>
      <c r="C73" s="71" t="inlineStr"/>
      <c r="D73" s="71" t="inlineStr"/>
      <c r="E73" s="71" t="inlineStr"/>
      <c r="F73" s="72" t="inlineStr">
        <is>
          <t>CNPJ: 03982400000642 - Nome: COMERCIAL ATT LTDA</t>
        </is>
      </c>
      <c r="G73" s="73" t="inlineStr">
        <is>
          <t>20/05/2026</t>
        </is>
      </c>
      <c r="H73" s="73" t="inlineStr">
        <is>
          <t>13/07/2026</t>
        </is>
      </c>
      <c r="I73" s="69" t="n"/>
      <c r="J73" s="74" t="n">
        <v>1155.76</v>
      </c>
      <c r="K73" s="74" t="n">
        <v>1553.35</v>
      </c>
      <c r="L73" s="1" t="n"/>
      <c r="M73" s="1" t="n"/>
      <c r="N73" s="25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</row>
    <row r="74" ht="25" customFormat="1" customHeight="1" s="3">
      <c r="A74" s="66" t="n">
        <v>577684</v>
      </c>
      <c r="B74" s="66" t="n">
        <v>906285661</v>
      </c>
      <c r="C74" s="66" t="inlineStr"/>
      <c r="D74" s="66" t="inlineStr"/>
      <c r="E74" s="66" t="inlineStr"/>
      <c r="F74" s="67" t="inlineStr">
        <is>
          <t>CNPJ: 03982400001029 - Nome: COMERCIAL ATT LTDA</t>
        </is>
      </c>
      <c r="G74" s="68" t="inlineStr">
        <is>
          <t>20/05/2026</t>
        </is>
      </c>
      <c r="H74" s="68" t="inlineStr">
        <is>
          <t>13/07/2026</t>
        </is>
      </c>
      <c r="I74" s="69" t="n"/>
      <c r="J74" s="70" t="n">
        <v>1317.13</v>
      </c>
      <c r="K74" s="70" t="n">
        <v>1770.23</v>
      </c>
      <c r="L74" s="1" t="n"/>
      <c r="M74" s="1" t="n"/>
      <c r="N74" s="25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</row>
    <row r="75" ht="25" customFormat="1" customHeight="1" s="3">
      <c r="A75" s="71" t="n">
        <v>577685</v>
      </c>
      <c r="B75" s="71" t="n">
        <v>906285684</v>
      </c>
      <c r="C75" s="71" t="inlineStr"/>
      <c r="D75" s="71" t="inlineStr"/>
      <c r="E75" s="71" t="inlineStr"/>
      <c r="F75" s="72" t="inlineStr">
        <is>
          <t>CNPJ: 03982400000804 - Nome: COMERCIAL ATT LTDA</t>
        </is>
      </c>
      <c r="G75" s="73" t="inlineStr">
        <is>
          <t>20/05/2026</t>
        </is>
      </c>
      <c r="H75" s="73" t="inlineStr">
        <is>
          <t>13/07/2026</t>
        </is>
      </c>
      <c r="I75" s="69" t="n"/>
      <c r="J75" s="74" t="n">
        <v>1068.52</v>
      </c>
      <c r="K75" s="74" t="n">
        <v>1436.1</v>
      </c>
      <c r="L75" s="1" t="n"/>
      <c r="M75" s="1" t="n"/>
      <c r="N75" s="25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</row>
    <row r="76" ht="25" customFormat="1" customHeight="1" s="3">
      <c r="A76" s="66" t="n">
        <v>577687</v>
      </c>
      <c r="B76" s="66" t="n">
        <v>906285692</v>
      </c>
      <c r="C76" s="66" t="inlineStr"/>
      <c r="D76" s="66" t="inlineStr"/>
      <c r="E76" s="66" t="inlineStr"/>
      <c r="F76" s="67" t="inlineStr">
        <is>
          <t>CNPJ: 03982400000723 - Nome: COMERCIAL ATT LTDA</t>
        </is>
      </c>
      <c r="G76" s="68" t="inlineStr">
        <is>
          <t>20/05/2026</t>
        </is>
      </c>
      <c r="H76" s="68" t="inlineStr">
        <is>
          <t>13/07/2026</t>
        </is>
      </c>
      <c r="I76" s="69" t="n"/>
      <c r="J76" s="70" t="n">
        <v>1202.86</v>
      </c>
      <c r="K76" s="70" t="n">
        <v>1616.65</v>
      </c>
      <c r="L76" s="1" t="n"/>
      <c r="M76" s="1" t="n"/>
      <c r="N76" s="25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</row>
    <row r="77" ht="25" customFormat="1" customHeight="1" s="3">
      <c r="A77" s="71" t="n">
        <v>577691</v>
      </c>
      <c r="B77" s="71" t="n">
        <v>906285712</v>
      </c>
      <c r="C77" s="71" t="inlineStr"/>
      <c r="D77" s="71" t="inlineStr"/>
      <c r="E77" s="71" t="inlineStr"/>
      <c r="F77" s="72" t="inlineStr">
        <is>
          <t>CNPJ: 03982400001614 - Nome: COMERCIAL ATT LTDA</t>
        </is>
      </c>
      <c r="G77" s="73" t="inlineStr">
        <is>
          <t>20/05/2026</t>
        </is>
      </c>
      <c r="H77" s="73" t="inlineStr">
        <is>
          <t>13/07/2026</t>
        </is>
      </c>
      <c r="I77" s="69" t="n"/>
      <c r="J77" s="74" t="n">
        <v>751.37</v>
      </c>
      <c r="K77" s="74" t="n">
        <v>1009.84</v>
      </c>
      <c r="L77" s="1" t="n"/>
      <c r="M77" s="1" t="n"/>
      <c r="N77" s="25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</row>
    <row r="78" ht="25" customFormat="1" customHeight="1" s="3">
      <c r="A78" s="66" t="n">
        <v>578271</v>
      </c>
      <c r="B78" s="66" t="n">
        <v>906284352</v>
      </c>
      <c r="C78" s="66" t="inlineStr"/>
      <c r="D78" s="66" t="inlineStr"/>
      <c r="E78" s="66" t="inlineStr"/>
      <c r="F78" s="67" t="inlineStr">
        <is>
          <t>CNPJ: 03982400000308 - Nome: COMERCIAL ATT LTDA - EPP</t>
        </is>
      </c>
      <c r="G78" s="68" t="inlineStr">
        <is>
          <t>21/05/2026</t>
        </is>
      </c>
      <c r="H78" s="68" t="inlineStr">
        <is>
          <t>13/07/2026</t>
        </is>
      </c>
      <c r="I78" s="69" t="n"/>
      <c r="J78" s="70" t="n">
        <v>292.85</v>
      </c>
      <c r="K78" s="70" t="n">
        <v>393.6</v>
      </c>
      <c r="L78" s="1" t="n"/>
      <c r="M78" s="1" t="n"/>
      <c r="N78" s="25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</row>
    <row r="79" ht="25" customFormat="1" customHeight="1" s="3">
      <c r="A79" s="71" t="n">
        <v>578320</v>
      </c>
      <c r="B79" s="71" t="n">
        <v>906285710</v>
      </c>
      <c r="C79" s="71" t="inlineStr"/>
      <c r="D79" s="71" t="inlineStr"/>
      <c r="E79" s="71" t="inlineStr"/>
      <c r="F79" s="72" t="inlineStr">
        <is>
          <t>CNPJ: 03982400000308 - Nome: COMERCIAL ATT LTDA - EPP</t>
        </is>
      </c>
      <c r="G79" s="73" t="inlineStr">
        <is>
          <t>21/05/2026</t>
        </is>
      </c>
      <c r="H79" s="73" t="inlineStr">
        <is>
          <t>13/07/2026</t>
        </is>
      </c>
      <c r="I79" s="69" t="n"/>
      <c r="J79" s="74" t="n">
        <v>1066.49</v>
      </c>
      <c r="K79" s="74" t="n">
        <v>1433.35</v>
      </c>
      <c r="L79" s="1" t="n"/>
      <c r="M79" s="1" t="n"/>
      <c r="N79" s="25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</row>
    <row r="80" ht="25" customFormat="1" customHeight="1" s="3">
      <c r="A80" s="66" t="n">
        <v>578321</v>
      </c>
      <c r="B80" s="66" t="n">
        <v>906285718</v>
      </c>
      <c r="C80" s="66" t="inlineStr"/>
      <c r="D80" s="66" t="inlineStr"/>
      <c r="E80" s="66" t="inlineStr"/>
      <c r="F80" s="67" t="inlineStr">
        <is>
          <t>CNPJ: 03982400001452 - Nome: COMERCIAL ATT LTDA - EPP</t>
        </is>
      </c>
      <c r="G80" s="68" t="inlineStr">
        <is>
          <t>21/05/2026</t>
        </is>
      </c>
      <c r="H80" s="68" t="inlineStr">
        <is>
          <t>13/07/2026</t>
        </is>
      </c>
      <c r="I80" s="69" t="n"/>
      <c r="J80" s="70" t="n">
        <v>725.73</v>
      </c>
      <c r="K80" s="70" t="n">
        <v>975.38</v>
      </c>
      <c r="L80" s="1" t="n"/>
      <c r="M80" s="1" t="n"/>
      <c r="N80" s="25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</row>
    <row r="81" ht="25" customFormat="1" customHeight="1" s="3">
      <c r="A81" s="71" t="n">
        <v>578327</v>
      </c>
      <c r="B81" s="71" t="n">
        <v>906285691</v>
      </c>
      <c r="C81" s="71" t="inlineStr"/>
      <c r="D81" s="71" t="inlineStr"/>
      <c r="E81" s="71" t="inlineStr"/>
      <c r="F81" s="72" t="inlineStr">
        <is>
          <t>CNPJ: 03982400001290 - Nome: COMERCIAL ATT LTDA - EPP</t>
        </is>
      </c>
      <c r="G81" s="73" t="inlineStr">
        <is>
          <t>21/05/2026</t>
        </is>
      </c>
      <c r="H81" s="73" t="inlineStr">
        <is>
          <t>27/07/2026</t>
        </is>
      </c>
      <c r="I81" s="69" t="n"/>
      <c r="J81" s="74" t="n">
        <v>58536.4</v>
      </c>
      <c r="K81" s="74" t="n">
        <v>78672.92</v>
      </c>
      <c r="L81" s="1" t="n"/>
      <c r="M81" s="1" t="n"/>
      <c r="N81" s="25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</row>
    <row r="82" ht="25" customFormat="1" customHeight="1" s="3">
      <c r="A82" s="66" t="n">
        <v>578344</v>
      </c>
      <c r="B82" s="66" t="n">
        <v>906285406</v>
      </c>
      <c r="C82" s="66" t="inlineStr"/>
      <c r="D82" s="66" t="inlineStr"/>
      <c r="E82" s="66" t="inlineStr"/>
      <c r="F82" s="67" t="inlineStr">
        <is>
          <t>CNPJ: 03982400001886 - Nome: COMERCIAL ATT LTDA</t>
        </is>
      </c>
      <c r="G82" s="68" t="inlineStr">
        <is>
          <t>21/05/2026</t>
        </is>
      </c>
      <c r="H82" s="68" t="inlineStr">
        <is>
          <t>13/07/2026</t>
        </is>
      </c>
      <c r="I82" s="69" t="n"/>
      <c r="J82" s="70" t="n">
        <v>355.85</v>
      </c>
      <c r="K82" s="70" t="n">
        <v>478.27</v>
      </c>
      <c r="L82" s="1" t="n"/>
      <c r="M82" s="1" t="n"/>
      <c r="N82" s="25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</row>
    <row r="83" ht="25" customFormat="1" customHeight="1" s="3">
      <c r="A83" s="71" t="n">
        <v>578346</v>
      </c>
      <c r="B83" s="71" t="n">
        <v>906285372</v>
      </c>
      <c r="C83" s="71" t="inlineStr"/>
      <c r="D83" s="71" t="inlineStr"/>
      <c r="E83" s="71" t="inlineStr"/>
      <c r="F83" s="72" t="inlineStr">
        <is>
          <t>CNPJ: 03982400001967 - Nome: COMERCIAL ATT LTDA</t>
        </is>
      </c>
      <c r="G83" s="73" t="inlineStr">
        <is>
          <t>21/05/2026</t>
        </is>
      </c>
      <c r="H83" s="73" t="inlineStr">
        <is>
          <t>27/07/2026</t>
        </is>
      </c>
      <c r="I83" s="69" t="n"/>
      <c r="J83" s="74" t="n">
        <v>8853.82</v>
      </c>
      <c r="K83" s="74" t="n">
        <v>11899.53</v>
      </c>
      <c r="L83" s="1" t="n"/>
      <c r="M83" s="1" t="n"/>
      <c r="N83" s="25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</row>
    <row r="84" ht="25" customFormat="1" customHeight="1" s="3">
      <c r="A84" s="66" t="n">
        <v>578349</v>
      </c>
      <c r="B84" s="66" t="n">
        <v>906285307</v>
      </c>
      <c r="C84" s="66" t="inlineStr"/>
      <c r="D84" s="66" t="inlineStr"/>
      <c r="E84" s="66" t="inlineStr"/>
      <c r="F84" s="67" t="inlineStr">
        <is>
          <t>CNPJ: 03982400002009 - Nome: COMERCIAL ATT LTDA</t>
        </is>
      </c>
      <c r="G84" s="68" t="inlineStr">
        <is>
          <t>21/05/2026</t>
        </is>
      </c>
      <c r="H84" s="68" t="inlineStr">
        <is>
          <t>27/07/2026</t>
        </is>
      </c>
      <c r="I84" s="69" t="n"/>
      <c r="J84" s="70" t="n">
        <v>30981.1</v>
      </c>
      <c r="K84" s="70" t="n">
        <v>41638.6</v>
      </c>
      <c r="L84" s="1" t="n"/>
      <c r="M84" s="1" t="n"/>
      <c r="N84" s="25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</row>
    <row r="85" ht="25" customFormat="1" customHeight="1" s="3">
      <c r="A85" s="71" t="n">
        <v>578358</v>
      </c>
      <c r="B85" s="71" t="n">
        <v>906283961</v>
      </c>
      <c r="C85" s="71" t="inlineStr"/>
      <c r="D85" s="71" t="inlineStr"/>
      <c r="E85" s="71" t="inlineStr"/>
      <c r="F85" s="72" t="inlineStr">
        <is>
          <t>CNPJ: 03982400001886 - Nome: COMERCIAL ATT LTDA</t>
        </is>
      </c>
      <c r="G85" s="73" t="inlineStr">
        <is>
          <t>21/05/2026</t>
        </is>
      </c>
      <c r="H85" s="73" t="inlineStr">
        <is>
          <t>13/07/2026</t>
        </is>
      </c>
      <c r="I85" s="69" t="n"/>
      <c r="J85" s="74" t="n">
        <v>4025.98</v>
      </c>
      <c r="K85" s="74" t="n">
        <v>5386.44</v>
      </c>
      <c r="L85" s="1" t="n"/>
      <c r="M85" s="1" t="n"/>
      <c r="N85" s="25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</row>
    <row r="86" ht="25" customFormat="1" customHeight="1" s="3">
      <c r="A86" s="66" t="n">
        <v>578374</v>
      </c>
      <c r="B86" s="66" t="n">
        <v>906284069</v>
      </c>
      <c r="C86" s="66" t="inlineStr"/>
      <c r="D86" s="66" t="inlineStr"/>
      <c r="E86" s="66" t="inlineStr"/>
      <c r="F86" s="67" t="inlineStr">
        <is>
          <t>CNPJ: 03982400001967 - Nome: COMERCIAL ATT LTDA</t>
        </is>
      </c>
      <c r="G86" s="68" t="inlineStr">
        <is>
          <t>21/05/2026</t>
        </is>
      </c>
      <c r="H86" s="68" t="inlineStr">
        <is>
          <t>27/07/2026</t>
        </is>
      </c>
      <c r="I86" s="69" t="n"/>
      <c r="J86" s="70" t="n">
        <v>77626.11</v>
      </c>
      <c r="K86" s="70" t="n">
        <v>103556.88</v>
      </c>
      <c r="L86" s="1" t="n"/>
      <c r="M86" s="1" t="n"/>
      <c r="N86" s="25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</row>
    <row r="87" ht="25" customFormat="1" customHeight="1" s="3">
      <c r="A87" s="71" t="n">
        <v>578378</v>
      </c>
      <c r="B87" s="71" t="n">
        <v>906284899</v>
      </c>
      <c r="C87" s="71" t="inlineStr"/>
      <c r="D87" s="71" t="inlineStr"/>
      <c r="E87" s="71" t="inlineStr"/>
      <c r="F87" s="72" t="inlineStr">
        <is>
          <t>CNPJ: 03982400001290 - Nome: COMERCIAL ATT LTDA - EPP</t>
        </is>
      </c>
      <c r="G87" s="73" t="inlineStr">
        <is>
          <t>21/05/2026</t>
        </is>
      </c>
      <c r="H87" s="73" t="inlineStr">
        <is>
          <t>27/07/2026</t>
        </is>
      </c>
      <c r="I87" s="69" t="n"/>
      <c r="J87" s="74" t="n">
        <v>381232.28</v>
      </c>
      <c r="K87" s="74" t="n">
        <v>509738.85</v>
      </c>
      <c r="L87" s="1" t="n"/>
      <c r="M87" s="1" t="n"/>
      <c r="N87" s="25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</row>
    <row r="88" ht="25" customFormat="1" customHeight="1" s="3">
      <c r="A88" s="66" t="n">
        <v>578379</v>
      </c>
      <c r="B88" s="66" t="n">
        <v>906284899</v>
      </c>
      <c r="C88" s="66" t="inlineStr"/>
      <c r="D88" s="66" t="inlineStr"/>
      <c r="E88" s="66" t="inlineStr"/>
      <c r="F88" s="67" t="inlineStr">
        <is>
          <t>CNPJ: 03982400001290 - Nome: COMERCIAL ATT LTDA - EPP</t>
        </is>
      </c>
      <c r="G88" s="68" t="inlineStr">
        <is>
          <t>21/05/2026</t>
        </is>
      </c>
      <c r="H88" s="68" t="inlineStr">
        <is>
          <t>27/07/2026</t>
        </is>
      </c>
      <c r="I88" s="69" t="n"/>
      <c r="J88" s="70" t="n">
        <v>263500.83</v>
      </c>
      <c r="K88" s="70" t="n">
        <v>352728.54</v>
      </c>
      <c r="L88" s="1" t="n"/>
      <c r="M88" s="1" t="n"/>
      <c r="N88" s="25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</row>
    <row r="89" ht="25" customFormat="1" customHeight="1" s="3">
      <c r="A89" s="71" t="n">
        <v>578380</v>
      </c>
      <c r="B89" s="71" t="n">
        <v>906284899</v>
      </c>
      <c r="C89" s="71" t="inlineStr"/>
      <c r="D89" s="71" t="inlineStr"/>
      <c r="E89" s="71" t="inlineStr"/>
      <c r="F89" s="72" t="inlineStr">
        <is>
          <t>CNPJ: 03982400001290 - Nome: COMERCIAL ATT LTDA - EPP</t>
        </is>
      </c>
      <c r="G89" s="73" t="inlineStr">
        <is>
          <t>21/05/2026</t>
        </is>
      </c>
      <c r="H89" s="73" t="inlineStr">
        <is>
          <t>27/07/2026</t>
        </is>
      </c>
      <c r="I89" s="69" t="n"/>
      <c r="J89" s="74" t="n">
        <v>90793.36</v>
      </c>
      <c r="K89" s="74" t="n">
        <v>118978.59</v>
      </c>
      <c r="L89" s="1" t="n"/>
      <c r="M89" s="1" t="n"/>
      <c r="N89" s="25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</row>
    <row r="90" ht="25" customFormat="1" customHeight="1" s="3">
      <c r="A90" s="66" t="n">
        <v>578381</v>
      </c>
      <c r="B90" s="66" t="n">
        <v>906284096</v>
      </c>
      <c r="C90" s="66" t="inlineStr"/>
      <c r="D90" s="66" t="inlineStr"/>
      <c r="E90" s="66" t="inlineStr"/>
      <c r="F90" s="67" t="inlineStr">
        <is>
          <t>CNPJ: 03982400002009 - Nome: COMERCIAL ATT LTDA</t>
        </is>
      </c>
      <c r="G90" s="68" t="inlineStr">
        <is>
          <t>21/05/2026</t>
        </is>
      </c>
      <c r="H90" s="68" t="inlineStr">
        <is>
          <t>27/07/2026</t>
        </is>
      </c>
      <c r="I90" s="69" t="n"/>
      <c r="J90" s="70" t="n">
        <v>177934.52</v>
      </c>
      <c r="K90" s="70" t="n">
        <v>238550.55</v>
      </c>
      <c r="L90" s="1" t="n"/>
      <c r="M90" s="1" t="n"/>
      <c r="N90" s="25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</row>
    <row r="91" ht="25" customFormat="1" customHeight="1" s="3">
      <c r="A91" s="71" t="n">
        <v>578382</v>
      </c>
      <c r="B91" s="71" t="n">
        <v>906284096</v>
      </c>
      <c r="C91" s="71" t="inlineStr"/>
      <c r="D91" s="71" t="inlineStr"/>
      <c r="E91" s="71" t="inlineStr"/>
      <c r="F91" s="72" t="inlineStr">
        <is>
          <t>CNPJ: 03982400002009 - Nome: COMERCIAL ATT LTDA</t>
        </is>
      </c>
      <c r="G91" s="73" t="inlineStr">
        <is>
          <t>21/05/2026</t>
        </is>
      </c>
      <c r="H91" s="73" t="inlineStr">
        <is>
          <t>27/07/2026</t>
        </is>
      </c>
      <c r="I91" s="69" t="n"/>
      <c r="J91" s="74" t="n">
        <v>141910.95</v>
      </c>
      <c r="K91" s="74" t="n">
        <v>188843.68</v>
      </c>
      <c r="L91" s="1" t="n"/>
      <c r="M91" s="1" t="n"/>
      <c r="N91" s="25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</row>
    <row r="92" ht="25" customHeight="1">
      <c r="A92" s="66" t="n">
        <v>578392</v>
      </c>
      <c r="B92" s="66" t="n">
        <v>906285663</v>
      </c>
      <c r="C92" s="66" t="inlineStr"/>
      <c r="D92" s="66" t="inlineStr"/>
      <c r="E92" s="66" t="inlineStr"/>
      <c r="F92" s="67" t="inlineStr">
        <is>
          <t>CNPJ: 03982400000138 - Nome: COMERCIAL ATT LTDA</t>
        </is>
      </c>
      <c r="G92" s="68" t="inlineStr">
        <is>
          <t>21/05/2026</t>
        </is>
      </c>
      <c r="H92" s="68" t="inlineStr">
        <is>
          <t>13/07/2026</t>
        </is>
      </c>
      <c r="I92" s="69" t="n"/>
      <c r="J92" s="70" t="n">
        <v>2004.8</v>
      </c>
      <c r="K92" s="70" t="n">
        <v>2694.45</v>
      </c>
    </row>
    <row r="93" ht="25" customHeight="1" thickBot="1">
      <c r="A93" s="71" t="n">
        <v>578398</v>
      </c>
      <c r="B93" s="71" t="n">
        <v>906284351</v>
      </c>
      <c r="C93" s="71" t="inlineStr"/>
      <c r="D93" s="71" t="inlineStr"/>
      <c r="E93" s="71" t="inlineStr"/>
      <c r="F93" s="72" t="inlineStr">
        <is>
          <t>CNPJ: 03982400000138 - Nome: COMERCIAL ATT LTDA</t>
        </is>
      </c>
      <c r="G93" s="73" t="inlineStr">
        <is>
          <t>21/05/2026</t>
        </is>
      </c>
      <c r="H93" s="73" t="inlineStr">
        <is>
          <t>13/07/2026</t>
        </is>
      </c>
      <c r="I93" s="69" t="n"/>
      <c r="J93" s="74" t="n">
        <v>10159.36</v>
      </c>
      <c r="K93" s="75" t="n">
        <v>13625.76</v>
      </c>
    </row>
    <row r="94" ht="25" customHeight="1">
      <c r="A94" s="66" t="n">
        <v>578477</v>
      </c>
      <c r="B94" s="66" t="n">
        <v>906284451</v>
      </c>
      <c r="C94" s="66" t="inlineStr"/>
      <c r="D94" s="66" t="inlineStr"/>
      <c r="E94" s="66" t="inlineStr"/>
      <c r="F94" s="67" t="inlineStr">
        <is>
          <t>CNPJ: 03982400001452 - Nome: COMERCIAL ATT LTDA - EPP</t>
        </is>
      </c>
      <c r="G94" s="68" t="inlineStr">
        <is>
          <t>21/05/2026</t>
        </is>
      </c>
      <c r="H94" s="68" t="inlineStr">
        <is>
          <t>13/07/2026</t>
        </is>
      </c>
      <c r="I94" s="69" t="n"/>
      <c r="J94" s="70" t="n">
        <v>4168.34</v>
      </c>
      <c r="K94" s="76" t="n">
        <v>5588.28</v>
      </c>
    </row>
    <row r="95" ht="25" customHeight="1">
      <c r="A95" s="77" t="n"/>
      <c r="B95" s="77" t="n"/>
      <c r="C95" s="77" t="n"/>
      <c r="D95" s="77" t="n"/>
      <c r="E95" s="77" t="n"/>
      <c r="F95" s="77" t="n"/>
      <c r="G95" s="77" t="n"/>
      <c r="H95" s="78" t="inlineStr">
        <is>
          <t>TOTAL</t>
        </is>
      </c>
      <c r="I95" s="77" t="n"/>
      <c r="J95" s="79">
        <f>SUM(J4:J94)</f>
        <v/>
      </c>
      <c r="K95" s="79">
        <f>SUM(K4:K94)</f>
        <v/>
      </c>
    </row>
    <row r="96" ht="25" customHeight="1">
      <c r="A96" s="80" t="n"/>
      <c r="B96" s="81" t="n"/>
      <c r="C96" s="81" t="n"/>
      <c r="D96" s="81" t="n"/>
      <c r="E96" s="81" t="n"/>
      <c r="F96" s="81" t="n"/>
      <c r="G96" s="81" t="n"/>
      <c r="H96" s="81" t="n"/>
      <c r="I96" s="78" t="inlineStr">
        <is>
          <t>% ICMS ST</t>
        </is>
      </c>
      <c r="J96" s="81" t="n"/>
      <c r="K96" s="82">
        <f>K95/J95-1</f>
        <v/>
      </c>
    </row>
    <row r="98" ht="20.1" customHeight="1"/>
    <row r="99" ht="20.1" customHeight="1"/>
    <row r="100" hidden="1" ht="12" customHeight="1"/>
  </sheetData>
  <mergeCells count="94">
    <mergeCell ref="H82:I82"/>
    <mergeCell ref="H53:I53"/>
    <mergeCell ref="H35:I35"/>
    <mergeCell ref="H10:I10"/>
    <mergeCell ref="H55:I55"/>
    <mergeCell ref="H9:I9"/>
    <mergeCell ref="H39:I39"/>
    <mergeCell ref="H94:I94"/>
    <mergeCell ref="H89:I89"/>
    <mergeCell ref="H52:I52"/>
    <mergeCell ref="H79:I79"/>
    <mergeCell ref="H45:I45"/>
    <mergeCell ref="H72:I72"/>
    <mergeCell ref="A2:K2"/>
    <mergeCell ref="H81:I81"/>
    <mergeCell ref="H37:I37"/>
    <mergeCell ref="H13:I13"/>
    <mergeCell ref="H65:I65"/>
    <mergeCell ref="H8:I8"/>
    <mergeCell ref="H87:I87"/>
    <mergeCell ref="H62:I62"/>
    <mergeCell ref="H15:I15"/>
    <mergeCell ref="H71:I71"/>
    <mergeCell ref="H23:I23"/>
    <mergeCell ref="H91:I91"/>
    <mergeCell ref="H54:I54"/>
    <mergeCell ref="H63:I63"/>
    <mergeCell ref="H41:I41"/>
    <mergeCell ref="H93:I93"/>
    <mergeCell ref="H50:I50"/>
    <mergeCell ref="H74:I74"/>
    <mergeCell ref="H68:I68"/>
    <mergeCell ref="H56:I56"/>
    <mergeCell ref="H34:I34"/>
    <mergeCell ref="H25:I25"/>
    <mergeCell ref="H83:I83"/>
    <mergeCell ref="H49:I49"/>
    <mergeCell ref="H85:I85"/>
    <mergeCell ref="H36:I36"/>
    <mergeCell ref="H17:I17"/>
    <mergeCell ref="H69:I69"/>
    <mergeCell ref="H11:I11"/>
    <mergeCell ref="H19:I19"/>
    <mergeCell ref="H75:I75"/>
    <mergeCell ref="H28:I28"/>
    <mergeCell ref="H80:I80"/>
    <mergeCell ref="H3:I3"/>
    <mergeCell ref="H12:I12"/>
    <mergeCell ref="H48:I48"/>
    <mergeCell ref="H5:I5"/>
    <mergeCell ref="H14:I14"/>
    <mergeCell ref="H38:I38"/>
    <mergeCell ref="H43:I43"/>
    <mergeCell ref="H31:I31"/>
    <mergeCell ref="H58:I58"/>
    <mergeCell ref="A1:K1"/>
    <mergeCell ref="H40:I40"/>
    <mergeCell ref="H21:I21"/>
    <mergeCell ref="H73:I73"/>
    <mergeCell ref="H60:I60"/>
    <mergeCell ref="H16:I16"/>
    <mergeCell ref="H57:I57"/>
    <mergeCell ref="H84:I84"/>
    <mergeCell ref="H66:I66"/>
    <mergeCell ref="H22:I22"/>
    <mergeCell ref="H77:I77"/>
    <mergeCell ref="H86:I86"/>
    <mergeCell ref="H42:I42"/>
    <mergeCell ref="H92:I92"/>
    <mergeCell ref="H30:I30"/>
    <mergeCell ref="H67:I67"/>
    <mergeCell ref="H20:I20"/>
    <mergeCell ref="H78:I78"/>
    <mergeCell ref="H29:I29"/>
    <mergeCell ref="H4:I4"/>
    <mergeCell ref="H44:I44"/>
    <mergeCell ref="H59:I59"/>
    <mergeCell ref="H6:I6"/>
    <mergeCell ref="H64:I64"/>
    <mergeCell ref="H46:I46"/>
    <mergeCell ref="H51:I51"/>
    <mergeCell ref="H61:I61"/>
    <mergeCell ref="H88:I88"/>
    <mergeCell ref="H70:I70"/>
    <mergeCell ref="H32:I32"/>
    <mergeCell ref="H7:I7"/>
    <mergeCell ref="H90:I90"/>
    <mergeCell ref="H47:I47"/>
    <mergeCell ref="H27:I27"/>
    <mergeCell ref="H24:I24"/>
    <mergeCell ref="H76:I76"/>
    <mergeCell ref="H33:I33"/>
    <mergeCell ref="H18:I18"/>
    <mergeCell ref="H26:I26"/>
  </mergeCells>
  <printOptions horizontalCentered="1"/>
  <pageMargins left="0" right="0" top="0" bottom="0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selection activeCell="A2" sqref="A2:X25"/>
    </sheetView>
  </sheetViews>
  <sheetFormatPr baseColWidth="8" defaultRowHeight="12.75"/>
  <cols>
    <col width="13.42578125" bestFit="1" customWidth="1" min="1" max="1"/>
    <col width="19.42578125" bestFit="1" customWidth="1" min="2" max="2"/>
    <col width="54.28515625" bestFit="1" customWidth="1" min="3" max="3"/>
    <col width="20.28515625" bestFit="1" customWidth="1" min="4" max="4"/>
    <col width="17.42578125" bestFit="1" customWidth="1" min="5" max="5"/>
    <col width="45.42578125" bestFit="1" customWidth="1" min="6" max="6"/>
    <col width="11" bestFit="1" customWidth="1" min="7" max="7"/>
    <col width="15.7109375" bestFit="1" customWidth="1" min="8" max="8"/>
    <col width="14.28515625" bestFit="1" customWidth="1" min="9" max="9"/>
    <col width="5.28515625" bestFit="1" customWidth="1" min="10" max="10"/>
    <col width="6.5703125" bestFit="1" customWidth="1" min="11" max="11"/>
    <col width="6.85546875" bestFit="1" customWidth="1" min="12" max="12"/>
    <col width="8.85546875" bestFit="1" customWidth="1" min="13" max="13"/>
    <col width="6" bestFit="1" customWidth="1" min="14" max="14"/>
    <col width="4.85546875" bestFit="1" customWidth="1" min="15" max="15"/>
    <col width="16.140625" bestFit="1" customWidth="1" min="16" max="16"/>
    <col width="7.42578125" bestFit="1" customWidth="1" min="17" max="17"/>
    <col width="14.7109375" bestFit="1" customWidth="1" min="18" max="18"/>
    <col width="13.42578125" bestFit="1" customWidth="1" min="19" max="19"/>
    <col width="20" bestFit="1" customWidth="1" min="20" max="20"/>
    <col width="16.28515625" bestFit="1" customWidth="1" min="21" max="21"/>
    <col width="22.42578125" bestFit="1" customWidth="1" min="22" max="22"/>
    <col width="16" bestFit="1" customWidth="1" min="23" max="23"/>
    <col width="10" bestFit="1" customWidth="1" min="24" max="24"/>
  </cols>
  <sheetData>
    <row r="1">
      <c r="A1" t="inlineStr">
        <is>
          <t>Código da Loja</t>
        </is>
      </c>
      <c r="B1" t="inlineStr">
        <is>
          <t>Código do Fornecedor</t>
        </is>
      </c>
      <c r="C1" t="inlineStr">
        <is>
          <t>Nome do Fornecedor</t>
        </is>
      </c>
      <c r="D1" t="inlineStr">
        <is>
          <t>Número do Documento</t>
        </is>
      </c>
      <c r="E1" t="inlineStr">
        <is>
          <t>codigo da operacao</t>
        </is>
      </c>
      <c r="F1" t="inlineStr">
        <is>
          <t>Operação</t>
        </is>
      </c>
      <c r="G1" t="inlineStr">
        <is>
          <t>Situação</t>
        </is>
      </c>
      <c r="H1" t="inlineStr">
        <is>
          <t>Data De Emissão</t>
        </is>
      </c>
      <c r="I1" t="inlineStr">
        <is>
          <t>Data de entrada</t>
        </is>
      </c>
      <c r="J1" t="inlineStr">
        <is>
          <t>Frete</t>
        </is>
      </c>
      <c r="K1" t="inlineStr">
        <is>
          <t>Outros</t>
        </is>
      </c>
      <c r="L1" t="inlineStr">
        <is>
          <t>Seguro</t>
        </is>
      </c>
      <c r="M1" t="inlineStr">
        <is>
          <t>Desconto</t>
        </is>
      </c>
      <c r="N1" t="inlineStr">
        <is>
          <t>IPI</t>
        </is>
      </c>
      <c r="O1" t="inlineStr">
        <is>
          <t>DAE</t>
        </is>
      </c>
      <c r="P1" t="inlineStr">
        <is>
          <t>ICMS Desonerado</t>
        </is>
      </c>
      <c r="Q1" t="inlineStr">
        <is>
          <t>FECOP</t>
        </is>
      </c>
      <c r="R1" t="inlineStr">
        <is>
          <t>Valor FECOPST</t>
        </is>
      </c>
      <c r="S1" t="inlineStr">
        <is>
          <t>FECOP Retido</t>
        </is>
      </c>
      <c r="T1" t="inlineStr">
        <is>
          <t>Base de Cálculo ICMS</t>
        </is>
      </c>
      <c r="U1" t="inlineStr">
        <is>
          <t>Valor BC do ICMS</t>
        </is>
      </c>
      <c r="V1" t="inlineStr">
        <is>
          <t>Base de Cálculo ICMSST</t>
        </is>
      </c>
      <c r="W1" t="inlineStr">
        <is>
          <t>Valor BC ICMSST</t>
        </is>
      </c>
      <c r="X1" t="inlineStr">
        <is>
          <t>Valor Total</t>
        </is>
      </c>
    </row>
    <row r="2">
      <c r="A2" t="n">
        <v>20843</v>
      </c>
      <c r="B2" t="n">
        <v>24</v>
      </c>
      <c r="C2" t="inlineStr">
        <is>
          <t>Cálamo Distrib.de Produtos de Belez Cálamo Distrib.de Produt</t>
        </is>
      </c>
      <c r="D2" t="n">
        <v>500448</v>
      </c>
      <c r="E2" t="n">
        <v>19</v>
      </c>
      <c r="F2" t="inlineStr">
        <is>
          <t>COMPRAS DE MERCADORIAS SEM FINANCEIRO</t>
        </is>
      </c>
      <c r="G2" t="inlineStr">
        <is>
          <t>PENDENTE</t>
        </is>
      </c>
      <c r="H2" s="20" t="n">
        <v>46112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229.03</v>
      </c>
      <c r="S2" t="n">
        <v>0</v>
      </c>
      <c r="T2" t="n">
        <v>5373.41</v>
      </c>
      <c r="U2" t="n">
        <v>1341.8</v>
      </c>
      <c r="V2" t="n">
        <v>11821.51</v>
      </c>
      <c r="W2" t="n">
        <v>1610.05</v>
      </c>
      <c r="X2" t="n">
        <v>7212.49</v>
      </c>
    </row>
    <row r="3">
      <c r="A3" t="n">
        <v>20844</v>
      </c>
      <c r="B3" t="n">
        <v>24</v>
      </c>
      <c r="C3" t="inlineStr">
        <is>
          <t>Cálamo Distrib.de Produtos de Belez Cálamo Distrib.de Produt</t>
        </is>
      </c>
      <c r="D3" t="n">
        <v>500405</v>
      </c>
      <c r="E3" t="n">
        <v>19</v>
      </c>
      <c r="F3" t="inlineStr">
        <is>
          <t>COMPRAS DE MERCADORIAS SEM FINANCEIRO</t>
        </is>
      </c>
      <c r="G3" t="inlineStr">
        <is>
          <t>PENDENTE</t>
        </is>
      </c>
      <c r="H3" s="20" t="n">
        <v>46112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62.91</v>
      </c>
      <c r="S3" t="n">
        <v>0</v>
      </c>
      <c r="T3" t="n">
        <v>1429.85</v>
      </c>
      <c r="U3" t="n">
        <v>357.46</v>
      </c>
      <c r="V3" t="n">
        <v>3145.67</v>
      </c>
      <c r="W3" t="n">
        <v>428.96</v>
      </c>
      <c r="X3" t="n">
        <v>1921.72</v>
      </c>
    </row>
    <row r="4">
      <c r="A4" t="n">
        <v>20844</v>
      </c>
      <c r="B4" t="n">
        <v>24</v>
      </c>
      <c r="C4" t="inlineStr">
        <is>
          <t>Cálamo Distrib.de Produtos de Belez Cálamo Distrib.de Produt</t>
        </is>
      </c>
      <c r="D4" t="n">
        <v>500656</v>
      </c>
      <c r="E4" t="n">
        <v>19</v>
      </c>
      <c r="F4" t="inlineStr">
        <is>
          <t>COMPRAS DE MERCADORIAS SEM FINANCEIRO</t>
        </is>
      </c>
      <c r="G4" t="inlineStr">
        <is>
          <t>PENDENTE</t>
        </is>
      </c>
      <c r="H4" s="20" t="n">
        <v>46112</v>
      </c>
      <c r="J4" t="n">
        <v>0</v>
      </c>
      <c r="K4" t="n">
        <v>0</v>
      </c>
      <c r="L4" t="n">
        <v>0</v>
      </c>
      <c r="M4" t="n">
        <v>0</v>
      </c>
      <c r="N4" t="n">
        <v>6.48</v>
      </c>
      <c r="O4" t="n">
        <v>0</v>
      </c>
      <c r="P4" t="n">
        <v>0</v>
      </c>
      <c r="Q4" t="n">
        <v>0</v>
      </c>
      <c r="R4" t="n">
        <v>5846.36</v>
      </c>
      <c r="S4" t="n">
        <v>0</v>
      </c>
      <c r="T4" t="n">
        <v>151926.63</v>
      </c>
      <c r="U4" t="n">
        <v>37399.12</v>
      </c>
      <c r="V4" t="n">
        <v>334252.82</v>
      </c>
      <c r="W4" t="n">
        <v>44882.37</v>
      </c>
      <c r="X4" t="n">
        <v>202661.84</v>
      </c>
    </row>
    <row r="5">
      <c r="A5" t="n">
        <v>20844</v>
      </c>
      <c r="B5" t="n">
        <v>24</v>
      </c>
      <c r="C5" t="inlineStr">
        <is>
          <t>Cálamo Distrib.de Produtos de Belez Cálamo Distrib.de Produt</t>
        </is>
      </c>
      <c r="D5" t="n">
        <v>500658</v>
      </c>
      <c r="E5" t="n">
        <v>19</v>
      </c>
      <c r="F5" t="inlineStr">
        <is>
          <t>COMPRAS DE MERCADORIAS SEM FINANCEIRO</t>
        </is>
      </c>
      <c r="G5" t="inlineStr">
        <is>
          <t>PENDENTE</t>
        </is>
      </c>
      <c r="H5" s="20" t="n">
        <v>46112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3685</v>
      </c>
      <c r="S5" t="n">
        <v>0</v>
      </c>
      <c r="T5" t="n">
        <v>94253.35000000001</v>
      </c>
      <c r="U5" t="n">
        <v>23162.51</v>
      </c>
      <c r="V5" t="n">
        <v>207357.36</v>
      </c>
      <c r="W5" t="n">
        <v>27794.88</v>
      </c>
      <c r="X5" t="n">
        <v>125733.23</v>
      </c>
    </row>
    <row r="6">
      <c r="A6" t="n">
        <v>20844</v>
      </c>
      <c r="B6" t="n">
        <v>24</v>
      </c>
      <c r="C6" t="inlineStr">
        <is>
          <t>Cálamo Distrib.de Produtos de Belez Cálamo Distrib.de Produt</t>
        </is>
      </c>
      <c r="D6" t="n">
        <v>500660</v>
      </c>
      <c r="E6" t="n">
        <v>19</v>
      </c>
      <c r="F6" t="inlineStr">
        <is>
          <t>COMPRAS DE MERCADORIAS SEM FINANCEIRO</t>
        </is>
      </c>
      <c r="G6" t="inlineStr">
        <is>
          <t>PENDENTE</t>
        </is>
      </c>
      <c r="H6" s="20" t="n">
        <v>46112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4046.22</v>
      </c>
      <c r="S6" t="n">
        <v>0</v>
      </c>
      <c r="T6" t="n">
        <v>123927.91</v>
      </c>
      <c r="U6" t="n">
        <v>28868.03</v>
      </c>
      <c r="V6" t="n">
        <v>272641.38</v>
      </c>
      <c r="W6" t="n">
        <v>34641.53</v>
      </c>
      <c r="X6" t="n">
        <v>162615.66</v>
      </c>
    </row>
    <row r="7">
      <c r="A7" t="n">
        <v>20845</v>
      </c>
      <c r="B7" t="n">
        <v>24</v>
      </c>
      <c r="C7" t="inlineStr">
        <is>
          <t>Cálamo Distrib.de Produtos de Belez Cálamo Distrib.de Produt</t>
        </is>
      </c>
      <c r="D7" t="n">
        <v>500451</v>
      </c>
      <c r="E7" t="n">
        <v>19</v>
      </c>
      <c r="F7" t="inlineStr">
        <is>
          <t>COMPRAS DE MERCADORIAS SEM FINANCEIRO</t>
        </is>
      </c>
      <c r="G7" t="inlineStr">
        <is>
          <t>PENDENTE</t>
        </is>
      </c>
      <c r="H7" s="20" t="n">
        <v>46112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342.43</v>
      </c>
      <c r="S7" t="n">
        <v>0</v>
      </c>
      <c r="T7" t="n">
        <v>8403.440000000001</v>
      </c>
      <c r="U7" t="n">
        <v>2089.5</v>
      </c>
      <c r="V7" t="n">
        <v>18487.58</v>
      </c>
      <c r="W7" t="n">
        <v>2507.29</v>
      </c>
      <c r="X7" t="n">
        <v>11253.16</v>
      </c>
    </row>
    <row r="8">
      <c r="A8" t="n">
        <v>20846</v>
      </c>
      <c r="B8" t="n">
        <v>24</v>
      </c>
      <c r="C8" t="inlineStr">
        <is>
          <t>Cálamo Distrib.de Produtos de Belez Cálamo Distrib.de Produt</t>
        </is>
      </c>
      <c r="D8" t="n">
        <v>500414</v>
      </c>
      <c r="E8" t="n">
        <v>19</v>
      </c>
      <c r="F8" t="inlineStr">
        <is>
          <t>COMPRAS DE MERCADORIAS SEM FINANCEIRO</t>
        </is>
      </c>
      <c r="G8" t="inlineStr">
        <is>
          <t>PENDENTE</t>
        </is>
      </c>
      <c r="H8" s="20" t="n">
        <v>46112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440.8</v>
      </c>
      <c r="S8" t="n">
        <v>0</v>
      </c>
      <c r="T8" t="n">
        <v>10223.14</v>
      </c>
      <c r="U8" t="n">
        <v>2550.08</v>
      </c>
      <c r="V8" t="n">
        <v>22490.9</v>
      </c>
      <c r="W8" t="n">
        <v>3060.07</v>
      </c>
      <c r="X8" t="n">
        <v>13724.01</v>
      </c>
    </row>
    <row r="9">
      <c r="A9" t="n">
        <v>21056</v>
      </c>
      <c r="B9" t="n">
        <v>24</v>
      </c>
      <c r="C9" t="inlineStr">
        <is>
          <t>Cálamo Distrib.de Produtos de Belez Cálamo Distrib.de Produt</t>
        </is>
      </c>
      <c r="D9" t="n">
        <v>500483</v>
      </c>
      <c r="E9" t="n">
        <v>19</v>
      </c>
      <c r="F9" t="inlineStr">
        <is>
          <t>COMPRAS DE MERCADORIAS SEM FINANCEIRO</t>
        </is>
      </c>
      <c r="G9" t="inlineStr">
        <is>
          <t>PENDENTE</t>
        </is>
      </c>
      <c r="H9" s="20" t="n">
        <v>46112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517.1900000000001</v>
      </c>
      <c r="S9" t="n">
        <v>0</v>
      </c>
      <c r="T9" t="n">
        <v>11774.54</v>
      </c>
      <c r="U9" t="n">
        <v>2942.6</v>
      </c>
      <c r="V9" t="n">
        <v>25903.98</v>
      </c>
      <c r="W9" t="n">
        <v>3531.09</v>
      </c>
      <c r="X9" t="n">
        <v>15822.82</v>
      </c>
    </row>
    <row r="10">
      <c r="A10" t="n">
        <v>21057</v>
      </c>
      <c r="B10" t="n">
        <v>24</v>
      </c>
      <c r="C10" t="inlineStr">
        <is>
          <t>Cálamo Distrib.de Produtos de Belez Cálamo Distrib.de Produt</t>
        </is>
      </c>
      <c r="D10" t="n">
        <v>500476</v>
      </c>
      <c r="E10" t="n">
        <v>19</v>
      </c>
      <c r="F10" t="inlineStr">
        <is>
          <t>COMPRAS DE MERCADORIAS SEM FINANCEIRO</t>
        </is>
      </c>
      <c r="G10" t="inlineStr">
        <is>
          <t>PENDENTE</t>
        </is>
      </c>
      <c r="H10" s="20" t="n">
        <v>46112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64.95999999999999</v>
      </c>
      <c r="S10" t="n">
        <v>0</v>
      </c>
      <c r="T10" t="n">
        <v>1670.54</v>
      </c>
      <c r="U10" t="n">
        <v>411.48</v>
      </c>
      <c r="V10" t="n">
        <v>3675.15</v>
      </c>
      <c r="W10" t="n">
        <v>493.74</v>
      </c>
      <c r="X10" t="n">
        <v>2229.24</v>
      </c>
    </row>
    <row r="11">
      <c r="A11" t="n">
        <v>21058</v>
      </c>
      <c r="B11" t="n">
        <v>24</v>
      </c>
      <c r="C11" t="inlineStr">
        <is>
          <t>Cálamo Distrib.de Produtos de Belez Cálamo Distrib.de Produt</t>
        </is>
      </c>
      <c r="D11" t="n">
        <v>500435</v>
      </c>
      <c r="E11" t="n">
        <v>19</v>
      </c>
      <c r="F11" t="inlineStr">
        <is>
          <t>COMPRAS DE MERCADORIAS SEM FINANCEIRO</t>
        </is>
      </c>
      <c r="G11" t="inlineStr">
        <is>
          <t>PENDENTE</t>
        </is>
      </c>
      <c r="H11" s="20" t="n">
        <v>46112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67.02</v>
      </c>
      <c r="S11" t="n">
        <v>0</v>
      </c>
      <c r="T11" t="n">
        <v>1686.41</v>
      </c>
      <c r="U11" t="n">
        <v>416.16</v>
      </c>
      <c r="V11" t="n">
        <v>3710.1</v>
      </c>
      <c r="W11" t="n">
        <v>499.4</v>
      </c>
      <c r="X11" t="n">
        <v>2252.83</v>
      </c>
    </row>
    <row r="12">
      <c r="A12" t="n">
        <v>21059</v>
      </c>
      <c r="B12" t="n">
        <v>24</v>
      </c>
      <c r="C12" t="inlineStr">
        <is>
          <t>Cálamo Distrib.de Produtos de Belez Cálamo Distrib.de Produt</t>
        </is>
      </c>
      <c r="D12" t="n">
        <v>500467</v>
      </c>
      <c r="E12" t="n">
        <v>19</v>
      </c>
      <c r="F12" t="inlineStr">
        <is>
          <t>COMPRAS DE MERCADORIAS SEM FINANCEIRO</t>
        </is>
      </c>
      <c r="G12" t="inlineStr">
        <is>
          <t>PENDENTE</t>
        </is>
      </c>
      <c r="H12" s="20" t="n">
        <v>46112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607.6900000000001</v>
      </c>
      <c r="S12" t="n">
        <v>0</v>
      </c>
      <c r="T12" t="n">
        <v>14167.66</v>
      </c>
      <c r="U12" t="n">
        <v>3533.35</v>
      </c>
      <c r="V12" t="n">
        <v>31168.87</v>
      </c>
      <c r="W12" t="n">
        <v>4239.95</v>
      </c>
      <c r="X12" t="n">
        <v>19015.3</v>
      </c>
    </row>
    <row r="13">
      <c r="A13" t="n">
        <v>21060</v>
      </c>
      <c r="B13" t="n">
        <v>24</v>
      </c>
      <c r="C13" t="inlineStr">
        <is>
          <t>Cálamo Distrib.de Produtos de Belez Cálamo Distrib.de Produt</t>
        </is>
      </c>
      <c r="D13" t="n">
        <v>500481</v>
      </c>
      <c r="E13" t="n">
        <v>19</v>
      </c>
      <c r="F13" t="inlineStr">
        <is>
          <t>COMPRAS DE MERCADORIAS SEM FINANCEIRO</t>
        </is>
      </c>
      <c r="G13" t="inlineStr">
        <is>
          <t>PENDENTE</t>
        </is>
      </c>
      <c r="H13" s="20" t="n">
        <v>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305.04</v>
      </c>
      <c r="S13" t="n">
        <v>0</v>
      </c>
      <c r="T13" t="n">
        <v>7130.27</v>
      </c>
      <c r="U13" t="n">
        <v>1768.79</v>
      </c>
      <c r="V13" t="n">
        <v>15686.6</v>
      </c>
      <c r="W13" t="n">
        <v>2122.47</v>
      </c>
      <c r="X13" t="n">
        <v>9557.780000000001</v>
      </c>
    </row>
    <row r="14">
      <c r="A14" t="n">
        <v>21061</v>
      </c>
      <c r="B14" t="n">
        <v>24</v>
      </c>
      <c r="C14" t="inlineStr">
        <is>
          <t>Cálamo Distrib.de Produtos de Belez Cálamo Distrib.de Produt</t>
        </is>
      </c>
      <c r="D14" t="n">
        <v>500413</v>
      </c>
      <c r="E14" t="n">
        <v>19</v>
      </c>
      <c r="F14" t="inlineStr">
        <is>
          <t>COMPRAS DE MERCADORIAS SEM FINANCEIRO</t>
        </is>
      </c>
      <c r="G14" t="inlineStr">
        <is>
          <t>PENDENTE</t>
        </is>
      </c>
      <c r="H14" s="20" t="n">
        <v>46112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761.52</v>
      </c>
      <c r="S14" t="n">
        <v>0</v>
      </c>
      <c r="T14" t="n">
        <v>17799.35</v>
      </c>
      <c r="U14" t="n">
        <v>4432.57</v>
      </c>
      <c r="V14" t="n">
        <v>39158.56</v>
      </c>
      <c r="W14" t="n">
        <v>5319.06</v>
      </c>
      <c r="X14" t="n">
        <v>23879.93</v>
      </c>
    </row>
    <row r="15">
      <c r="A15" t="n">
        <v>21062</v>
      </c>
      <c r="B15" t="n">
        <v>24</v>
      </c>
      <c r="C15" t="inlineStr">
        <is>
          <t>Cálamo Distrib.de Produtos de Belez Cálamo Distrib.de Produt</t>
        </is>
      </c>
      <c r="D15" t="n">
        <v>500412</v>
      </c>
      <c r="E15" t="n">
        <v>19</v>
      </c>
      <c r="F15" t="inlineStr">
        <is>
          <t>COMPRAS DE MERCADORIAS SEM FINANCEIRO</t>
        </is>
      </c>
      <c r="G15" t="inlineStr">
        <is>
          <t>PENDENTE</t>
        </is>
      </c>
      <c r="H15" s="20" t="n">
        <v>46112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211.57</v>
      </c>
      <c r="S15" t="n">
        <v>0</v>
      </c>
      <c r="T15" t="n">
        <v>5072.55</v>
      </c>
      <c r="U15" t="n">
        <v>1261.19</v>
      </c>
      <c r="V15" t="n">
        <v>11159.58</v>
      </c>
      <c r="W15" t="n">
        <v>1513.28</v>
      </c>
      <c r="X15" t="n">
        <v>6797.4</v>
      </c>
    </row>
    <row r="16">
      <c r="A16" t="n">
        <v>21207</v>
      </c>
      <c r="B16" t="n">
        <v>24</v>
      </c>
      <c r="C16" t="inlineStr">
        <is>
          <t>Cálamo Distrib.de Produtos de Belez Cálamo Distrib.de Produt</t>
        </is>
      </c>
      <c r="D16" t="n">
        <v>500415</v>
      </c>
      <c r="E16" t="n">
        <v>19</v>
      </c>
      <c r="F16" t="inlineStr">
        <is>
          <t>COMPRAS DE MERCADORIAS SEM FINANCEIRO</t>
        </is>
      </c>
      <c r="G16" t="inlineStr">
        <is>
          <t>PENDENTE</t>
        </is>
      </c>
      <c r="H16" s="20" t="n">
        <v>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48.57</v>
      </c>
      <c r="S16" t="n">
        <v>0</v>
      </c>
      <c r="T16" t="n">
        <v>1253.03</v>
      </c>
      <c r="U16" t="n">
        <v>309.77</v>
      </c>
      <c r="V16" t="n">
        <v>2756.65</v>
      </c>
      <c r="W16" t="n">
        <v>371.7</v>
      </c>
      <c r="X16" t="n">
        <v>1673.3</v>
      </c>
    </row>
    <row r="17">
      <c r="A17" t="n">
        <v>21274</v>
      </c>
      <c r="B17" t="n">
        <v>24</v>
      </c>
      <c r="C17" t="inlineStr">
        <is>
          <t>Cálamo Distrib.de Produtos de Belez Cálamo Distrib.de Produt</t>
        </is>
      </c>
      <c r="D17" t="n">
        <v>500500</v>
      </c>
      <c r="E17" t="n">
        <v>19</v>
      </c>
      <c r="F17" t="inlineStr">
        <is>
          <t>COMPRAS DE MERCADORIAS SEM FINANCEIRO</t>
        </is>
      </c>
      <c r="G17" t="inlineStr">
        <is>
          <t>PENDENTE</t>
        </is>
      </c>
      <c r="H17" s="20" t="n">
        <v>46112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</v>
      </c>
      <c r="S17" t="n">
        <v>0</v>
      </c>
      <c r="T17" t="n">
        <v>1954.49</v>
      </c>
      <c r="U17" t="n">
        <v>488.05</v>
      </c>
      <c r="V17" t="n">
        <v>4299.84</v>
      </c>
      <c r="W17" t="n">
        <v>585.65</v>
      </c>
      <c r="X17" t="n">
        <v>2622.84</v>
      </c>
    </row>
    <row r="18">
      <c r="A18" t="n">
        <v>22631</v>
      </c>
      <c r="B18" t="n">
        <v>24</v>
      </c>
      <c r="C18" t="inlineStr">
        <is>
          <t>Cálamo Distrib.de Produtos de Belez Cálamo Distrib.de Produt</t>
        </is>
      </c>
      <c r="D18" t="n">
        <v>500503</v>
      </c>
      <c r="E18" t="n">
        <v>19</v>
      </c>
      <c r="F18" t="inlineStr">
        <is>
          <t>COMPRAS DE MERCADORIAS SEM FINANCEIRO</t>
        </is>
      </c>
      <c r="G18" t="inlineStr">
        <is>
          <t>PENDENTE</t>
        </is>
      </c>
      <c r="H18" s="20" t="n">
        <v>46112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76.75</v>
      </c>
      <c r="S18" t="n">
        <v>0</v>
      </c>
      <c r="T18" t="n">
        <v>1960.77</v>
      </c>
      <c r="U18" t="n">
        <v>483.51</v>
      </c>
      <c r="V18" t="n">
        <v>4313.67</v>
      </c>
      <c r="W18" t="n">
        <v>580.14</v>
      </c>
      <c r="X18" t="n">
        <v>2617.66</v>
      </c>
    </row>
    <row r="19">
      <c r="A19" t="n">
        <v>22744</v>
      </c>
      <c r="B19" t="n">
        <v>24</v>
      </c>
      <c r="C19" t="inlineStr">
        <is>
          <t>Cálamo Distrib.de Produtos de Belez Cálamo Distrib.de Produt</t>
        </is>
      </c>
      <c r="D19" t="n">
        <v>500499</v>
      </c>
      <c r="E19" t="n">
        <v>19</v>
      </c>
      <c r="F19" t="inlineStr">
        <is>
          <t>COMPRAS DE MERCADORIAS SEM FINANCEIRO</t>
        </is>
      </c>
      <c r="G19" t="inlineStr">
        <is>
          <t>PENDENTE</t>
        </is>
      </c>
      <c r="H19" s="20" t="n">
        <v>46112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90.70999999999999</v>
      </c>
      <c r="S19" t="n">
        <v>0</v>
      </c>
      <c r="T19" t="n">
        <v>2084.36</v>
      </c>
      <c r="U19" t="n">
        <v>520.59</v>
      </c>
      <c r="V19" t="n">
        <v>4585.55</v>
      </c>
      <c r="W19" t="n">
        <v>624.66</v>
      </c>
      <c r="X19" t="n">
        <v>2799.73</v>
      </c>
    </row>
    <row r="20">
      <c r="A20" t="n">
        <v>23252</v>
      </c>
      <c r="B20" t="n">
        <v>24</v>
      </c>
      <c r="C20" t="inlineStr">
        <is>
          <t>Cálamo Distrib.de Produtos de Belez Cálamo Distrib.de Produt</t>
        </is>
      </c>
      <c r="D20" t="n">
        <v>500468</v>
      </c>
      <c r="E20" t="n">
        <v>19</v>
      </c>
      <c r="F20" t="inlineStr">
        <is>
          <t>COMPRAS DE MERCADORIAS SEM FINANCEIRO</t>
        </is>
      </c>
      <c r="G20" t="inlineStr">
        <is>
          <t>PENDENTE</t>
        </is>
      </c>
      <c r="H20" s="20" t="n">
        <v>46112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279.23</v>
      </c>
      <c r="S20" t="n">
        <v>0</v>
      </c>
      <c r="T20" t="n">
        <v>6535.33</v>
      </c>
      <c r="U20" t="n">
        <v>1628.47</v>
      </c>
      <c r="V20" t="n">
        <v>14377.69</v>
      </c>
      <c r="W20" t="n">
        <v>1954.07</v>
      </c>
      <c r="X20" t="n">
        <v>8768.629999999999</v>
      </c>
    </row>
    <row r="21">
      <c r="A21" t="n">
        <v>23263</v>
      </c>
      <c r="B21" t="n">
        <v>24</v>
      </c>
      <c r="C21" t="inlineStr">
        <is>
          <t>Cálamo Distrib.de Produtos de Belez Cálamo Distrib.de Produt</t>
        </is>
      </c>
      <c r="D21" t="n">
        <v>500436</v>
      </c>
      <c r="E21" t="n">
        <v>19</v>
      </c>
      <c r="F21" t="inlineStr">
        <is>
          <t>COMPRAS DE MERCADORIAS SEM FINANCEIRO</t>
        </is>
      </c>
      <c r="G21" t="inlineStr">
        <is>
          <t>PENDENTE</t>
        </is>
      </c>
      <c r="H21" s="20" t="n">
        <v>46112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92.73999999999999</v>
      </c>
      <c r="S21" t="n">
        <v>0</v>
      </c>
      <c r="T21" t="n">
        <v>2154.26</v>
      </c>
      <c r="U21" t="n">
        <v>538.0599999999999</v>
      </c>
      <c r="V21" t="n">
        <v>4739.33</v>
      </c>
      <c r="W21" t="n">
        <v>645.63</v>
      </c>
      <c r="X21" t="n">
        <v>2892.63</v>
      </c>
    </row>
    <row r="22">
      <c r="A22" t="n">
        <v>23264</v>
      </c>
      <c r="B22" t="n">
        <v>24</v>
      </c>
      <c r="C22" t="inlineStr">
        <is>
          <t>Cálamo Distrib.de Produtos de Belez Cálamo Distrib.de Produt</t>
        </is>
      </c>
      <c r="D22" t="n">
        <v>500428</v>
      </c>
      <c r="E22" t="n">
        <v>19</v>
      </c>
      <c r="F22" t="inlineStr">
        <is>
          <t>COMPRAS DE MERCADORIAS SEM FINANCEIRO</t>
        </is>
      </c>
      <c r="G22" t="inlineStr">
        <is>
          <t>PENDENTE</t>
        </is>
      </c>
      <c r="H22" s="20" t="n">
        <v>46112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520.47</v>
      </c>
      <c r="S22" t="n">
        <v>0</v>
      </c>
      <c r="T22" t="n">
        <v>12119.21</v>
      </c>
      <c r="U22" t="n">
        <v>3017.8</v>
      </c>
      <c r="V22" t="n">
        <v>26662.22</v>
      </c>
      <c r="W22" t="n">
        <v>3621.33</v>
      </c>
      <c r="X22" t="n">
        <v>16261.01</v>
      </c>
    </row>
    <row r="23">
      <c r="A23" t="n">
        <v>23269</v>
      </c>
      <c r="B23" t="n">
        <v>24</v>
      </c>
      <c r="C23" t="inlineStr">
        <is>
          <t>Cálamo Distrib.de Produtos de Belez Cálamo Distrib.de Produt</t>
        </is>
      </c>
      <c r="D23" t="n">
        <v>500447</v>
      </c>
      <c r="E23" t="n">
        <v>19</v>
      </c>
      <c r="F23" t="inlineStr">
        <is>
          <t>COMPRAS DE MERCADORIAS SEM FINANCEIRO</t>
        </is>
      </c>
      <c r="G23" t="inlineStr">
        <is>
          <t>PENDENTE</t>
        </is>
      </c>
      <c r="H23" s="20" t="n">
        <v>46112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</v>
      </c>
      <c r="S23" t="n">
        <v>0</v>
      </c>
      <c r="T23" t="n">
        <v>2171.58</v>
      </c>
      <c r="U23" t="n">
        <v>538.5599999999999</v>
      </c>
      <c r="V23" t="n">
        <v>4777.43</v>
      </c>
      <c r="W23" t="n">
        <v>646.24</v>
      </c>
      <c r="X23" t="n">
        <v>2905.38</v>
      </c>
    </row>
    <row r="24">
      <c r="A24" t="n">
        <v>23275</v>
      </c>
      <c r="B24" t="n">
        <v>24</v>
      </c>
      <c r="C24" t="inlineStr">
        <is>
          <t>Cálamo Distrib.de Produtos de Belez Cálamo Distrib.de Produt</t>
        </is>
      </c>
      <c r="D24" t="n">
        <v>500520</v>
      </c>
      <c r="E24" t="n">
        <v>19</v>
      </c>
      <c r="F24" t="inlineStr">
        <is>
          <t>COMPRAS DE MERCADORIAS SEM FINANCEIRO</t>
        </is>
      </c>
      <c r="G24" t="inlineStr">
        <is>
          <t>PENDENTE</t>
        </is>
      </c>
      <c r="H24" s="20" t="n">
        <v>46112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2163.21</v>
      </c>
      <c r="S24" t="n">
        <v>0</v>
      </c>
      <c r="T24" t="n">
        <v>55198.31</v>
      </c>
      <c r="U24" t="n">
        <v>13440.13</v>
      </c>
      <c r="V24" t="n">
        <v>121436.33</v>
      </c>
      <c r="W24" t="n">
        <v>16128.01</v>
      </c>
      <c r="X24" t="n">
        <v>73489.53</v>
      </c>
    </row>
    <row r="25">
      <c r="A25" t="n">
        <v>24417</v>
      </c>
      <c r="B25" t="n">
        <v>24</v>
      </c>
      <c r="C25" t="inlineStr">
        <is>
          <t>Cálamo Distrib.de Produtos de Belez Cálamo Distrib.de Produt</t>
        </is>
      </c>
      <c r="D25" t="n">
        <v>500522</v>
      </c>
      <c r="E25" t="n">
        <v>19</v>
      </c>
      <c r="F25" t="inlineStr">
        <is>
          <t>COMPRAS DE MERCADORIAS SEM FINANCEIRO</t>
        </is>
      </c>
      <c r="G25" t="inlineStr">
        <is>
          <t>PENDENTE</t>
        </is>
      </c>
      <c r="H25" s="20" t="n">
        <v>46112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1334.87</v>
      </c>
      <c r="S25" t="n">
        <v>0</v>
      </c>
      <c r="T25" t="n">
        <v>35210.19</v>
      </c>
      <c r="U25" t="n">
        <v>8551.379999999999</v>
      </c>
      <c r="V25" t="n">
        <v>77462.37</v>
      </c>
      <c r="W25" t="n">
        <v>10261.46</v>
      </c>
      <c r="X25" t="n">
        <v>46806.52</v>
      </c>
    </row>
    <row r="26">
      <c r="H26" s="20" t="n"/>
    </row>
    <row r="27">
      <c r="H27" s="20" t="n"/>
    </row>
    <row r="28">
      <c r="H28" s="20" t="n"/>
    </row>
    <row r="29">
      <c r="H29" s="20" t="n"/>
    </row>
    <row r="30">
      <c r="H30" s="20" t="n"/>
    </row>
    <row r="31">
      <c r="H31" s="20" t="n"/>
    </row>
    <row r="32">
      <c r="H32" s="20" t="n"/>
    </row>
    <row r="33">
      <c r="H33" s="20" t="n"/>
    </row>
    <row r="34">
      <c r="H34" s="20" t="n"/>
    </row>
    <row r="35">
      <c r="H35" s="20" t="n"/>
    </row>
    <row r="36">
      <c r="H36" s="20" t="n"/>
    </row>
    <row r="37">
      <c r="H37" s="20" t="n"/>
    </row>
    <row r="38">
      <c r="H38" s="20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30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</row>
    <row r="40">
      <c r="H40" s="20" t="n"/>
    </row>
    <row r="41">
      <c r="H41" s="20" t="n"/>
    </row>
    <row r="42">
      <c r="H42" s="20" t="n"/>
    </row>
    <row r="43">
      <c r="H43" s="20" t="n"/>
    </row>
    <row r="44">
      <c r="H44" s="20" t="n"/>
    </row>
    <row r="45">
      <c r="H45" s="20" t="n"/>
    </row>
    <row r="46">
      <c r="H46" s="20" t="n"/>
    </row>
    <row r="47">
      <c r="H47" s="20" t="n"/>
    </row>
    <row r="48">
      <c r="H48" s="20" t="n"/>
    </row>
    <row r="49">
      <c r="H49" s="20" t="n"/>
    </row>
    <row r="50">
      <c r="H50" s="20" t="n"/>
    </row>
    <row r="51">
      <c r="H51" s="20" t="n"/>
    </row>
    <row r="52">
      <c r="H52" s="20" t="n"/>
    </row>
    <row r="53">
      <c r="H53" s="20" t="n"/>
    </row>
    <row r="54">
      <c r="H54" s="20" t="n"/>
    </row>
    <row r="55">
      <c r="H55" s="20" t="n"/>
    </row>
    <row r="56">
      <c r="H56" s="20" t="n"/>
    </row>
    <row r="57">
      <c r="H57" s="20" t="n"/>
    </row>
    <row r="58">
      <c r="H58" s="20" t="n"/>
    </row>
    <row r="59">
      <c r="H59" s="20" t="n"/>
    </row>
    <row r="60">
      <c r="H60" s="20" t="n"/>
    </row>
    <row r="61">
      <c r="H61" s="20" t="n"/>
    </row>
    <row r="62">
      <c r="H62" s="20" t="n"/>
    </row>
    <row r="63">
      <c r="H63" s="20" t="n"/>
    </row>
    <row r="64">
      <c r="H64" s="20" t="n"/>
    </row>
    <row r="65">
      <c r="H65" s="20" t="n"/>
    </row>
    <row r="66">
      <c r="H66" s="20" t="n"/>
    </row>
    <row r="67">
      <c r="H67" s="20" t="n"/>
    </row>
    <row r="68">
      <c r="H68" s="20" t="n"/>
    </row>
    <row r="69">
      <c r="H69" s="20" t="n"/>
    </row>
    <row r="70">
      <c r="H70" s="20" t="n"/>
    </row>
    <row r="71">
      <c r="H71" s="20" t="n"/>
    </row>
    <row r="72">
      <c r="H72" s="20" t="n"/>
    </row>
    <row r="73">
      <c r="H73" s="20" t="n"/>
    </row>
    <row r="74">
      <c r="H74" s="20" t="n"/>
    </row>
    <row r="75">
      <c r="H75" s="20" t="n"/>
    </row>
    <row r="76">
      <c r="H76" s="20" t="n"/>
    </row>
    <row r="77">
      <c r="H77" s="20" t="n"/>
    </row>
    <row r="78">
      <c r="H78" s="20" t="n"/>
    </row>
  </sheetData>
  <autoFilter ref="A1:X61">
    <sortState ref="A2:X61">
      <sortCondition ref="A1:A61"/>
    </sortState>
  </autoFilter>
  <pageMargins left="0.787401575" right="0.787401575" top="0.984251969" bottom="0.984251969" header="0.4921259845" footer="0.492125984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23" sqref="C23"/>
    </sheetView>
  </sheetViews>
  <sheetFormatPr baseColWidth="8" defaultRowHeight="12.75"/>
  <cols>
    <col width="7" bestFit="1" customWidth="1" min="1" max="1"/>
    <col width="29.85546875" bestFit="1" customWidth="1" min="2" max="2"/>
    <col width="13.28515625" bestFit="1" customWidth="1" min="5" max="5"/>
  </cols>
  <sheetData>
    <row r="1">
      <c r="A1" t="inlineStr">
        <is>
          <t>PDV</t>
        </is>
      </c>
      <c r="B1" t="inlineStr">
        <is>
          <t>NOMECLATURA</t>
        </is>
      </c>
      <c r="C1" t="inlineStr">
        <is>
          <t>CANAL</t>
        </is>
      </c>
    </row>
    <row r="2">
      <c r="A2" t="n">
        <v>20843</v>
      </c>
      <c r="B2" t="inlineStr">
        <is>
          <t>20843-ALFI-ATT-UDI SHOP</t>
        </is>
      </c>
      <c r="C2" t="inlineStr">
        <is>
          <t>LOJA</t>
        </is>
      </c>
    </row>
    <row r="3">
      <c r="A3" t="n">
        <v>20844</v>
      </c>
      <c r="B3" t="inlineStr">
        <is>
          <t>20844-ATT-VD</t>
        </is>
      </c>
      <c r="C3" t="inlineStr">
        <is>
          <t>VD</t>
        </is>
      </c>
    </row>
    <row r="4">
      <c r="A4" t="n">
        <v>20845</v>
      </c>
      <c r="B4" t="inlineStr">
        <is>
          <t>20845-ATT-FLORIANO</t>
        </is>
      </c>
      <c r="C4" t="inlineStr">
        <is>
          <t>LOJA</t>
        </is>
      </c>
    </row>
    <row r="5">
      <c r="A5" t="n">
        <v>20846</v>
      </c>
      <c r="B5" t="inlineStr">
        <is>
          <t>20846-ATT-PT SABIÁ</t>
        </is>
      </c>
      <c r="C5" t="inlineStr">
        <is>
          <t>LOJA</t>
        </is>
      </c>
    </row>
    <row r="6">
      <c r="A6" t="n">
        <v>21045</v>
      </c>
      <c r="B6" t="inlineStr">
        <is>
          <t>21045-ATT - QSQ CSH</t>
        </is>
      </c>
      <c r="C6" t="inlineStr">
        <is>
          <t>LOJA</t>
        </is>
      </c>
    </row>
    <row r="7">
      <c r="A7" t="n">
        <v>21056</v>
      </c>
      <c r="B7" t="inlineStr">
        <is>
          <t>21056-ATT - LUIZOTE</t>
        </is>
      </c>
      <c r="C7" t="inlineStr">
        <is>
          <t>LOJA</t>
        </is>
      </c>
    </row>
    <row r="8">
      <c r="A8" t="n">
        <v>21057</v>
      </c>
      <c r="B8" t="inlineStr">
        <is>
          <t>21057-ATT - TABAJARAS</t>
        </is>
      </c>
      <c r="C8" t="inlineStr">
        <is>
          <t>LOJA</t>
        </is>
      </c>
    </row>
    <row r="9">
      <c r="A9" t="n">
        <v>21058</v>
      </c>
      <c r="B9" t="inlineStr">
        <is>
          <t>21058-ATT - STA MONICA</t>
        </is>
      </c>
      <c r="C9" t="inlineStr">
        <is>
          <t>LOJA</t>
        </is>
      </c>
    </row>
    <row r="10">
      <c r="A10" t="n">
        <v>21059</v>
      </c>
      <c r="B10" t="inlineStr">
        <is>
          <t>21059-ATT-ROOSEVELT</t>
        </is>
      </c>
      <c r="C10" t="inlineStr">
        <is>
          <t>LOJA</t>
        </is>
      </c>
    </row>
    <row r="11">
      <c r="A11" t="n">
        <v>21060</v>
      </c>
      <c r="B11" t="inlineStr">
        <is>
          <t>21060-ATT-AF PENA</t>
        </is>
      </c>
      <c r="C11" t="inlineStr">
        <is>
          <t>LOJA</t>
        </is>
      </c>
    </row>
    <row r="12">
      <c r="A12" t="n">
        <v>21061</v>
      </c>
      <c r="B12" t="inlineStr">
        <is>
          <t>21061-ATT-CENTER SHOP</t>
        </is>
      </c>
      <c r="C12" t="inlineStr">
        <is>
          <t>LOJA</t>
        </is>
      </c>
    </row>
    <row r="13">
      <c r="A13" t="n">
        <v>21062</v>
      </c>
      <c r="B13" t="inlineStr">
        <is>
          <t>21062-ATT-TERMINAL CT</t>
        </is>
      </c>
      <c r="C13" t="inlineStr">
        <is>
          <t>LOJA</t>
        </is>
      </c>
    </row>
    <row r="14">
      <c r="A14" t="n">
        <v>21207</v>
      </c>
      <c r="B14" t="inlineStr">
        <is>
          <t>21207-ATT-PLANALTO</t>
        </is>
      </c>
      <c r="C14" t="inlineStr">
        <is>
          <t>LOJA</t>
        </is>
      </c>
    </row>
    <row r="15">
      <c r="A15" t="n">
        <v>21274</v>
      </c>
      <c r="B15" t="inlineStr">
        <is>
          <t>21274-ATT-QSQ MORUMBI</t>
        </is>
      </c>
      <c r="C15" t="inlineStr">
        <is>
          <t>LOJA</t>
        </is>
      </c>
    </row>
    <row r="16">
      <c r="A16" t="n">
        <v>22631</v>
      </c>
      <c r="B16" t="inlineStr">
        <is>
          <t>22631-ATT-APARECIDA</t>
        </is>
      </c>
      <c r="C16" t="inlineStr">
        <is>
          <t>LOJA</t>
        </is>
      </c>
    </row>
    <row r="17">
      <c r="A17" t="n">
        <v>22744</v>
      </c>
      <c r="B17" t="inlineStr">
        <is>
          <t>22744-ATT-CANAA</t>
        </is>
      </c>
      <c r="C17" t="inlineStr">
        <is>
          <t>LOJA</t>
        </is>
      </c>
    </row>
    <row r="18">
      <c r="A18" t="n">
        <v>23252</v>
      </c>
      <c r="B18" t="inlineStr">
        <is>
          <t>23252-ATT-RUI BARBOSA - ARI</t>
        </is>
      </c>
      <c r="C18" t="inlineStr">
        <is>
          <t>LOJA</t>
        </is>
      </c>
    </row>
    <row r="19">
      <c r="A19" t="n">
        <v>23263</v>
      </c>
      <c r="B19" t="inlineStr">
        <is>
          <t>23263-ATT-CENTRO-TPC</t>
        </is>
      </c>
      <c r="C19" t="inlineStr">
        <is>
          <t>LOJA</t>
        </is>
      </c>
    </row>
    <row r="20">
      <c r="A20" t="n">
        <v>23264</v>
      </c>
      <c r="B20" t="inlineStr">
        <is>
          <t>23264-ATT-MATO GROSSO - ARI</t>
        </is>
      </c>
      <c r="C20" t="inlineStr">
        <is>
          <t>LOJA</t>
        </is>
      </c>
    </row>
    <row r="21">
      <c r="A21" t="n">
        <v>23269</v>
      </c>
      <c r="B21" t="inlineStr">
        <is>
          <t>23269-ATT-BOSQUE - ARI</t>
        </is>
      </c>
      <c r="C21" t="inlineStr">
        <is>
          <t>LOJA</t>
        </is>
      </c>
    </row>
    <row r="22">
      <c r="A22" t="n">
        <v>23275</v>
      </c>
      <c r="B22" t="inlineStr">
        <is>
          <t>23275-ATT-ER CENTRO-ARI</t>
        </is>
      </c>
      <c r="C22" t="inlineStr">
        <is>
          <t>VD</t>
        </is>
      </c>
    </row>
    <row r="23">
      <c r="A23" t="n">
        <v>24417</v>
      </c>
      <c r="B23" t="inlineStr">
        <is>
          <t>24417-ER JARDIM PATRICIA</t>
        </is>
      </c>
      <c r="C23" t="inlineStr">
        <is>
          <t>VD</t>
        </is>
      </c>
    </row>
    <row r="24">
      <c r="A24" t="n">
        <v>911557</v>
      </c>
      <c r="B24" t="inlineStr">
        <is>
          <t>911557-QDB CSH</t>
        </is>
      </c>
      <c r="C24" t="inlineStr">
        <is>
          <t>LOJA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A1:B14"/>
    </sheetView>
  </sheetViews>
  <sheetFormatPr baseColWidth="8" defaultRowHeight="12.75"/>
  <cols>
    <col width="32.140625" customWidth="1" min="2" max="2"/>
  </cols>
  <sheetData>
    <row r="1">
      <c r="A1" t="n">
        <v>20843</v>
      </c>
      <c r="B1" t="inlineStr">
        <is>
          <t>20843-ALFI-ATT-UDI SHOP</t>
        </is>
      </c>
    </row>
    <row r="2">
      <c r="A2" t="n">
        <v>20844</v>
      </c>
      <c r="B2" t="inlineStr">
        <is>
          <t>20844-ATT-VD</t>
        </is>
      </c>
    </row>
    <row r="3">
      <c r="A3" t="n">
        <v>20845</v>
      </c>
      <c r="B3" t="inlineStr">
        <is>
          <t>20845-ATT-FLORIANO</t>
        </is>
      </c>
    </row>
    <row r="4">
      <c r="A4" t="n">
        <v>20846</v>
      </c>
      <c r="B4" t="inlineStr">
        <is>
          <t>20846-ATT-PT SABIÁ</t>
        </is>
      </c>
    </row>
    <row r="5">
      <c r="A5" t="n">
        <v>21045</v>
      </c>
      <c r="B5" t="inlineStr">
        <is>
          <t>21045-ATT - QSQ CSH</t>
        </is>
      </c>
    </row>
    <row r="6">
      <c r="A6" t="n">
        <v>21056</v>
      </c>
      <c r="B6" t="inlineStr">
        <is>
          <t>21056-ATT - LUIZOTE</t>
        </is>
      </c>
    </row>
    <row r="7">
      <c r="A7" t="n">
        <v>21057</v>
      </c>
      <c r="B7" t="inlineStr">
        <is>
          <t>21057-ATT - TABAJARAS</t>
        </is>
      </c>
    </row>
    <row r="8">
      <c r="A8" t="n">
        <v>21058</v>
      </c>
      <c r="B8" t="inlineStr">
        <is>
          <t>21058-ATT - STA MONICA</t>
        </is>
      </c>
    </row>
    <row r="9">
      <c r="A9" t="n">
        <v>21059</v>
      </c>
      <c r="B9" t="inlineStr">
        <is>
          <t>21059-ATT-ROOSEVELT</t>
        </is>
      </c>
    </row>
    <row r="10">
      <c r="A10" t="n">
        <v>21060</v>
      </c>
      <c r="B10" t="inlineStr">
        <is>
          <t>21060-ATT-AF PENA</t>
        </is>
      </c>
    </row>
    <row r="11">
      <c r="A11" t="n">
        <v>21061</v>
      </c>
      <c r="B11" t="inlineStr">
        <is>
          <t>21061-ATT-CENTER SHOP</t>
        </is>
      </c>
    </row>
    <row r="12">
      <c r="A12" t="n">
        <v>21062</v>
      </c>
      <c r="B12" t="inlineStr">
        <is>
          <t>21062-ATT-TERMINAL CT</t>
        </is>
      </c>
    </row>
    <row r="13">
      <c r="A13" t="n">
        <v>21207</v>
      </c>
      <c r="B13" t="inlineStr">
        <is>
          <t>21207-ATT-PLANALTO</t>
        </is>
      </c>
    </row>
    <row r="14">
      <c r="A14" t="n">
        <v>21274</v>
      </c>
      <c r="B14" t="inlineStr">
        <is>
          <t>21274-ATT-QSQ MORUMBI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</dc:creator>
  <dcterms:created xmlns:dcterms="http://purl.org/dc/terms/" xmlns:xsi="http://www.w3.org/2001/XMLSchema-instance" xsi:type="dcterms:W3CDTF">2022-08-09T12:52:20Z</dcterms:created>
  <dcterms:modified xmlns:dcterms="http://purl.org/dc/terms/" xmlns:xsi="http://www.w3.org/2001/XMLSchema-instance" xsi:type="dcterms:W3CDTF">2026-05-22T18:42:06Z</dcterms:modified>
  <cp:lastModifiedBy>Mateus Henrique De Oliveira</cp:lastModifiedBy>
  <cp:lastPrinted>2026-04-01T11:58:18Z</cp:lastPrinted>
</cp:coreProperties>
</file>